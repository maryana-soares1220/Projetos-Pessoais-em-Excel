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85EEA76-19F0-432B-A3FB-BCC0B2173B39}" xr6:coauthVersionLast="47" xr6:coauthVersionMax="47" xr10:uidLastSave="{00000000-0000-0000-0000-000000000000}"/>
  <bookViews>
    <workbookView xWindow="-120" yWindow="-120" windowWidth="20730" windowHeight="11040" tabRatio="857" xr2:uid="{00000000-000D-0000-FFFF-FFFF00000000}"/>
  </bookViews>
  <sheets>
    <sheet name="Dashboard" sheetId="8" r:id="rId1"/>
    <sheet name="Tabela Dinâmica" sheetId="7" r:id="rId2"/>
    <sheet name="Base_Bruta_Empresarial" sheetId="1" r:id="rId3"/>
    <sheet name="Desafios_Estagio" sheetId="2" r:id="rId4"/>
  </sheets>
  <definedNames>
    <definedName name="SegmentaçãodeDados_Meses__Data_Transacao">#N/A</definedName>
    <definedName name="SegmentaçãodeDados_Regiao">#N/A</definedName>
    <definedName name="SegmentaçãodeDados_Status_Pagamento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5" i="7" l="1"/>
  <c r="AF2" i="1"/>
  <c r="AE2" i="1" s="1"/>
  <c r="AD6" i="1"/>
  <c r="AC6" i="1" s="1"/>
  <c r="AD5" i="1"/>
  <c r="AC5" i="1" s="1"/>
  <c r="AD4" i="1"/>
  <c r="AC4" i="1" s="1"/>
  <c r="AD3" i="1"/>
  <c r="AC3" i="1" s="1"/>
  <c r="AD2" i="1"/>
  <c r="AC2" i="1" s="1"/>
  <c r="AG2" i="1" a="1"/>
  <c r="AG2" i="1" s="1"/>
  <c r="W2" i="1" s="1"/>
  <c r="X2" i="1" s="1"/>
  <c r="AB2" i="1"/>
  <c r="AA2" i="1"/>
  <c r="AG8" i="1" a="1"/>
  <c r="Y6" i="1" s="1"/>
  <c r="Z6" i="1" s="1"/>
  <c r="V2" i="1"/>
  <c r="U2" i="1"/>
  <c r="T2" i="1"/>
  <c r="Q156" i="1"/>
  <c r="R156" i="1" s="1" a="1"/>
  <c r="R156" i="1" s="1"/>
  <c r="Q592" i="1"/>
  <c r="R592" i="1" s="1" a="1"/>
  <c r="R592" i="1" s="1"/>
  <c r="Q437" i="1"/>
  <c r="R437" i="1" s="1" a="1"/>
  <c r="R437" i="1" s="1"/>
  <c r="Q275" i="1"/>
  <c r="R275" i="1" s="1" a="1"/>
  <c r="R275" i="1" s="1"/>
  <c r="Q780" i="1"/>
  <c r="R780" i="1" s="1" a="1"/>
  <c r="R780" i="1" s="1"/>
  <c r="Q633" i="1"/>
  <c r="R633" i="1" s="1" a="1"/>
  <c r="R633" i="1" s="1"/>
  <c r="Q250" i="1"/>
  <c r="R250" i="1" s="1" a="1"/>
  <c r="R250" i="1" s="1"/>
  <c r="Q11" i="1"/>
  <c r="R11" i="1" s="1" a="1"/>
  <c r="R11" i="1" s="1"/>
  <c r="Q290" i="1"/>
  <c r="R290" i="1" s="1" a="1"/>
  <c r="R290" i="1" s="1"/>
  <c r="Q6" i="1"/>
  <c r="R6" i="1" s="1" a="1"/>
  <c r="R6" i="1" s="1"/>
  <c r="Q362" i="1"/>
  <c r="R362" i="1" s="1" a="1"/>
  <c r="R362" i="1" s="1"/>
  <c r="Q953" i="1"/>
  <c r="R953" i="1" s="1" a="1"/>
  <c r="R953" i="1" s="1"/>
  <c r="Q848" i="1"/>
  <c r="R848" i="1" s="1" a="1"/>
  <c r="R848" i="1" s="1"/>
  <c r="Q723" i="1"/>
  <c r="R723" i="1" s="1" a="1"/>
  <c r="R723" i="1" s="1"/>
  <c r="Q368" i="1"/>
  <c r="R368" i="1" s="1" a="1"/>
  <c r="R368" i="1" s="1"/>
  <c r="Q127" i="1"/>
  <c r="R127" i="1" s="1" a="1"/>
  <c r="R127" i="1" s="1"/>
  <c r="Q411" i="1"/>
  <c r="R411" i="1" s="1" a="1"/>
  <c r="R411" i="1" s="1"/>
  <c r="Q539" i="1"/>
  <c r="R539" i="1" s="1" a="1"/>
  <c r="R539" i="1" s="1"/>
  <c r="Q835" i="1"/>
  <c r="R835" i="1" s="1" a="1"/>
  <c r="R835" i="1" s="1"/>
  <c r="Q244" i="1"/>
  <c r="R244" i="1" s="1" a="1"/>
  <c r="R244" i="1" s="1"/>
  <c r="Q206" i="1"/>
  <c r="R206" i="1" s="1" a="1"/>
  <c r="R206" i="1" s="1"/>
  <c r="Q540" i="1"/>
  <c r="R540" i="1" s="1" a="1"/>
  <c r="R540" i="1" s="1"/>
  <c r="Q378" i="1"/>
  <c r="R378" i="1" s="1" a="1"/>
  <c r="R378" i="1" s="1"/>
  <c r="Q61" i="1"/>
  <c r="R61" i="1" s="1" a="1"/>
  <c r="R61" i="1" s="1"/>
  <c r="Q949" i="1"/>
  <c r="R949" i="1" s="1" a="1"/>
  <c r="R949" i="1" s="1"/>
  <c r="Q550" i="1"/>
  <c r="R550" i="1" s="1" a="1"/>
  <c r="R550" i="1" s="1"/>
  <c r="Q982" i="1"/>
  <c r="R982" i="1" s="1" a="1"/>
  <c r="R982" i="1" s="1"/>
  <c r="Q369" i="1"/>
  <c r="R369" i="1" s="1" a="1"/>
  <c r="R369" i="1" s="1"/>
  <c r="Q718" i="1"/>
  <c r="R718" i="1" s="1" a="1"/>
  <c r="R718" i="1" s="1"/>
  <c r="Q547" i="1"/>
  <c r="R547" i="1" s="1" a="1"/>
  <c r="R547" i="1" s="1"/>
  <c r="Q277" i="1"/>
  <c r="R277" i="1" s="1" a="1"/>
  <c r="R277" i="1" s="1"/>
  <c r="Q434" i="1"/>
  <c r="R434" i="1" s="1" a="1"/>
  <c r="R434" i="1" s="1"/>
  <c r="Q223" i="1"/>
  <c r="R223" i="1" s="1" a="1"/>
  <c r="R223" i="1" s="1"/>
  <c r="Q574" i="1"/>
  <c r="R574" i="1" s="1" a="1"/>
  <c r="R574" i="1" s="1"/>
  <c r="Q388" i="1"/>
  <c r="R388" i="1" s="1" a="1"/>
  <c r="R388" i="1" s="1"/>
  <c r="Q183" i="1"/>
  <c r="R183" i="1" s="1" a="1"/>
  <c r="R183" i="1" s="1"/>
  <c r="Q576" i="1"/>
  <c r="R576" i="1" s="1" a="1"/>
  <c r="R576" i="1" s="1"/>
  <c r="Q512" i="1"/>
  <c r="R512" i="1" s="1" a="1"/>
  <c r="R512" i="1" s="1"/>
  <c r="Q389" i="1"/>
  <c r="R389" i="1" s="1" a="1"/>
  <c r="R389" i="1" s="1"/>
  <c r="Q822" i="1"/>
  <c r="R822" i="1" s="1" a="1"/>
  <c r="R822" i="1" s="1"/>
  <c r="Q575" i="1"/>
  <c r="R575" i="1" s="1" a="1"/>
  <c r="R575" i="1" s="1"/>
  <c r="Q824" i="1"/>
  <c r="R824" i="1" s="1" a="1"/>
  <c r="R824" i="1" s="1"/>
  <c r="Q750" i="1"/>
  <c r="R750" i="1" s="1" a="1"/>
  <c r="R750" i="1" s="1"/>
  <c r="Q386" i="1"/>
  <c r="R386" i="1" s="1" a="1"/>
  <c r="R386" i="1" s="1"/>
  <c r="Q261" i="1"/>
  <c r="R261" i="1" s="1" a="1"/>
  <c r="R261" i="1" s="1"/>
  <c r="Q342" i="1"/>
  <c r="R342" i="1" s="1" a="1"/>
  <c r="R342" i="1" s="1"/>
  <c r="Q379" i="1"/>
  <c r="R379" i="1" s="1" a="1"/>
  <c r="R379" i="1" s="1"/>
  <c r="Q769" i="1"/>
  <c r="R769" i="1" s="1" a="1"/>
  <c r="R769" i="1" s="1"/>
  <c r="Q153" i="1"/>
  <c r="R153" i="1" s="1" a="1"/>
  <c r="R153" i="1" s="1"/>
  <c r="Q965" i="1"/>
  <c r="R965" i="1" s="1" a="1"/>
  <c r="R965" i="1" s="1"/>
  <c r="Q312" i="1"/>
  <c r="R312" i="1" s="1" a="1"/>
  <c r="R312" i="1" s="1"/>
  <c r="Q532" i="1"/>
  <c r="R532" i="1" s="1" a="1"/>
  <c r="R532" i="1" s="1"/>
  <c r="Q442" i="1"/>
  <c r="R442" i="1" s="1" a="1"/>
  <c r="R442" i="1" s="1"/>
  <c r="Q701" i="1"/>
  <c r="R701" i="1" s="1" a="1"/>
  <c r="R701" i="1" s="1"/>
  <c r="Q335" i="1"/>
  <c r="R335" i="1" s="1" a="1"/>
  <c r="R335" i="1" s="1"/>
  <c r="Q118" i="1"/>
  <c r="R118" i="1" s="1" a="1"/>
  <c r="R118" i="1" s="1"/>
  <c r="Q232" i="1"/>
  <c r="R232" i="1" s="1" a="1"/>
  <c r="R232" i="1" s="1"/>
  <c r="Q802" i="1"/>
  <c r="R802" i="1" s="1" a="1"/>
  <c r="R802" i="1" s="1"/>
  <c r="Q773" i="1"/>
  <c r="R773" i="1" s="1" a="1"/>
  <c r="R773" i="1" s="1"/>
  <c r="Q258" i="1"/>
  <c r="R258" i="1" s="1" a="1"/>
  <c r="R258" i="1" s="1"/>
  <c r="Q518" i="1"/>
  <c r="R518" i="1" s="1" a="1"/>
  <c r="R518" i="1" s="1"/>
  <c r="Q612" i="1"/>
  <c r="R612" i="1" s="1" a="1"/>
  <c r="R612" i="1" s="1"/>
  <c r="Q33" i="1"/>
  <c r="R33" i="1" s="1" a="1"/>
  <c r="R33" i="1" s="1"/>
  <c r="Q996" i="1"/>
  <c r="R996" i="1" s="1" a="1"/>
  <c r="R996" i="1" s="1"/>
  <c r="Q774" i="1"/>
  <c r="R774" i="1" s="1" a="1"/>
  <c r="R774" i="1" s="1"/>
  <c r="Q169" i="1"/>
  <c r="R169" i="1" s="1" a="1"/>
  <c r="R169" i="1" s="1"/>
  <c r="Q839" i="1"/>
  <c r="R839" i="1" s="1" a="1"/>
  <c r="R839" i="1" s="1"/>
  <c r="Q777" i="1"/>
  <c r="R777" i="1" s="1" a="1"/>
  <c r="R777" i="1" s="1"/>
  <c r="Q726" i="1"/>
  <c r="R726" i="1" s="1" a="1"/>
  <c r="R726" i="1" s="1"/>
  <c r="Q370" i="1"/>
  <c r="R370" i="1" s="1" a="1"/>
  <c r="R370" i="1" s="1"/>
  <c r="Q325" i="1"/>
  <c r="R325" i="1" s="1" a="1"/>
  <c r="R325" i="1" s="1"/>
  <c r="Q753" i="1"/>
  <c r="R753" i="1" s="1" a="1"/>
  <c r="R753" i="1" s="1"/>
  <c r="Q84" i="1"/>
  <c r="R84" i="1" s="1" a="1"/>
  <c r="R84" i="1" s="1"/>
  <c r="Q704" i="1"/>
  <c r="R704" i="1" s="1" a="1"/>
  <c r="R704" i="1" s="1"/>
  <c r="Q459" i="1"/>
  <c r="R459" i="1" s="1" a="1"/>
  <c r="R459" i="1" s="1"/>
  <c r="Q13" i="1"/>
  <c r="R13" i="1" s="1" a="1"/>
  <c r="R13" i="1" s="1"/>
  <c r="Q972" i="1"/>
  <c r="R972" i="1" s="1" a="1"/>
  <c r="R972" i="1" s="1"/>
  <c r="Q283" i="1"/>
  <c r="R283" i="1" s="1" a="1"/>
  <c r="R283" i="1" s="1"/>
  <c r="Q413" i="1"/>
  <c r="R413" i="1" s="1" a="1"/>
  <c r="R413" i="1" s="1"/>
  <c r="Q208" i="1"/>
  <c r="R208" i="1" s="1" a="1"/>
  <c r="R208" i="1" s="1"/>
  <c r="Q679" i="1"/>
  <c r="R679" i="1" s="1" a="1"/>
  <c r="R679" i="1" s="1"/>
  <c r="Q790" i="1"/>
  <c r="R790" i="1" s="1" a="1"/>
  <c r="R790" i="1" s="1"/>
  <c r="Q890" i="1"/>
  <c r="R890" i="1" s="1" a="1"/>
  <c r="R890" i="1" s="1"/>
  <c r="Q832" i="1"/>
  <c r="R832" i="1" s="1" a="1"/>
  <c r="R832" i="1" s="1"/>
  <c r="Q844" i="1"/>
  <c r="R844" i="1" s="1" a="1"/>
  <c r="R844" i="1" s="1"/>
  <c r="Q988" i="1"/>
  <c r="R988" i="1" s="1" a="1"/>
  <c r="R988" i="1" s="1"/>
  <c r="Q154" i="1"/>
  <c r="R154" i="1" s="1" a="1"/>
  <c r="R154" i="1" s="1"/>
  <c r="Q299" i="1"/>
  <c r="R299" i="1" s="1" a="1"/>
  <c r="R299" i="1" s="1"/>
  <c r="Q919" i="1"/>
  <c r="R919" i="1" s="1" a="1"/>
  <c r="R919" i="1" s="1"/>
  <c r="Q301" i="1"/>
  <c r="R301" i="1" s="1" a="1"/>
  <c r="R301" i="1" s="1"/>
  <c r="Q656" i="1"/>
  <c r="R656" i="1" s="1" a="1"/>
  <c r="R656" i="1" s="1"/>
  <c r="Q915" i="1"/>
  <c r="R915" i="1" s="1" a="1"/>
  <c r="R915" i="1" s="1"/>
  <c r="Q478" i="1"/>
  <c r="R478" i="1" s="1" a="1"/>
  <c r="R478" i="1" s="1"/>
  <c r="Q15" i="1"/>
  <c r="R15" i="1" s="1" a="1"/>
  <c r="R15" i="1" s="1"/>
  <c r="Q104" i="1"/>
  <c r="R104" i="1" s="1" a="1"/>
  <c r="R104" i="1" s="1"/>
  <c r="Q999" i="1"/>
  <c r="R999" i="1" s="1" a="1"/>
  <c r="R999" i="1" s="1"/>
  <c r="Q296" i="1"/>
  <c r="R296" i="1" s="1" a="1"/>
  <c r="R296" i="1" s="1"/>
  <c r="Q500" i="1"/>
  <c r="R500" i="1" s="1" a="1"/>
  <c r="R500" i="1" s="1"/>
  <c r="Q37" i="1"/>
  <c r="R37" i="1" s="1" a="1"/>
  <c r="R37" i="1" s="1"/>
  <c r="Q609" i="1"/>
  <c r="R609" i="1" s="1" a="1"/>
  <c r="R609" i="1" s="1"/>
  <c r="Q305" i="1"/>
  <c r="R305" i="1" s="1" a="1"/>
  <c r="R305" i="1" s="1"/>
  <c r="Q939" i="1"/>
  <c r="R939" i="1" s="1" a="1"/>
  <c r="R939" i="1" s="1"/>
  <c r="Q586" i="1"/>
  <c r="R586" i="1" s="1" a="1"/>
  <c r="R586" i="1" s="1"/>
  <c r="Q507" i="1"/>
  <c r="R507" i="1" s="1" a="1"/>
  <c r="R507" i="1" s="1"/>
  <c r="Q640" i="1"/>
  <c r="R640" i="1" s="1" a="1"/>
  <c r="R640" i="1" s="1"/>
  <c r="Q228" i="1"/>
  <c r="R228" i="1" s="1" a="1"/>
  <c r="R228" i="1" s="1"/>
  <c r="Q111" i="1"/>
  <c r="R111" i="1" s="1" a="1"/>
  <c r="R111" i="1" s="1"/>
  <c r="Q854" i="1"/>
  <c r="R854" i="1" s="1" a="1"/>
  <c r="R854" i="1" s="1"/>
  <c r="Q875" i="1"/>
  <c r="R875" i="1" s="1" a="1"/>
  <c r="R875" i="1" s="1"/>
  <c r="Q350" i="1"/>
  <c r="R350" i="1" s="1" a="1"/>
  <c r="R350" i="1" s="1"/>
  <c r="Q590" i="1"/>
  <c r="R590" i="1" s="1" a="1"/>
  <c r="R590" i="1" s="1"/>
  <c r="Q150" i="1"/>
  <c r="R150" i="1" s="1" a="1"/>
  <c r="R150" i="1" s="1"/>
  <c r="Q89" i="1"/>
  <c r="R89" i="1" s="1" a="1"/>
  <c r="R89" i="1" s="1"/>
  <c r="Q677" i="1"/>
  <c r="R677" i="1" s="1" a="1"/>
  <c r="R677" i="1" s="1"/>
  <c r="Q99" i="1"/>
  <c r="R99" i="1" s="1" a="1"/>
  <c r="R99" i="1" s="1"/>
  <c r="Q98" i="1"/>
  <c r="R98" i="1" s="1" a="1"/>
  <c r="R98" i="1" s="1"/>
  <c r="Q184" i="1"/>
  <c r="R184" i="1" s="1" a="1"/>
  <c r="R184" i="1" s="1"/>
  <c r="Q210" i="1"/>
  <c r="R210" i="1" s="1" a="1"/>
  <c r="R210" i="1" s="1"/>
  <c r="Q12" i="1"/>
  <c r="R12" i="1" s="1" a="1"/>
  <c r="R12" i="1" s="1"/>
  <c r="Q236" i="1"/>
  <c r="R236" i="1" s="1" a="1"/>
  <c r="R236" i="1" s="1"/>
  <c r="Q454" i="1"/>
  <c r="R454" i="1" s="1" a="1"/>
  <c r="R454" i="1" s="1"/>
  <c r="Q729" i="1"/>
  <c r="R729" i="1" s="1" a="1"/>
  <c r="R729" i="1" s="1"/>
  <c r="Q803" i="1"/>
  <c r="R803" i="1" s="1" a="1"/>
  <c r="R803" i="1" s="1"/>
  <c r="Q359" i="1"/>
  <c r="R359" i="1" s="1" a="1"/>
  <c r="R359" i="1" s="1"/>
  <c r="Q58" i="1"/>
  <c r="R58" i="1" s="1" a="1"/>
  <c r="R58" i="1" s="1"/>
  <c r="Q280" i="1"/>
  <c r="R280" i="1" s="1" a="1"/>
  <c r="R280" i="1" s="1"/>
  <c r="Q268" i="1"/>
  <c r="R268" i="1" s="1" a="1"/>
  <c r="R268" i="1" s="1"/>
  <c r="Q765" i="1"/>
  <c r="R765" i="1" s="1" a="1"/>
  <c r="R765" i="1" s="1"/>
  <c r="Q755" i="1"/>
  <c r="R755" i="1" s="1" a="1"/>
  <c r="R755" i="1" s="1"/>
  <c r="Q32" i="1"/>
  <c r="R32" i="1" s="1" a="1"/>
  <c r="R32" i="1" s="1"/>
  <c r="Q492" i="1"/>
  <c r="R492" i="1" s="1" a="1"/>
  <c r="R492" i="1" s="1"/>
  <c r="Q710" i="1"/>
  <c r="R710" i="1" s="1" a="1"/>
  <c r="R710" i="1" s="1"/>
  <c r="Q224" i="1"/>
  <c r="R224" i="1" s="1" a="1"/>
  <c r="R224" i="1" s="1"/>
  <c r="Q663" i="1"/>
  <c r="R663" i="1" s="1" a="1"/>
  <c r="R663" i="1" s="1"/>
  <c r="Q383" i="1"/>
  <c r="R383" i="1" s="1" a="1"/>
  <c r="R383" i="1" s="1"/>
  <c r="Q187" i="1"/>
  <c r="R187" i="1" s="1" a="1"/>
  <c r="R187" i="1" s="1"/>
  <c r="Q632" i="1"/>
  <c r="R632" i="1" s="1" a="1"/>
  <c r="R632" i="1" s="1"/>
  <c r="Q174" i="1"/>
  <c r="R174" i="1" s="1" a="1"/>
  <c r="R174" i="1" s="1"/>
  <c r="Q121" i="1"/>
  <c r="R121" i="1" s="1" a="1"/>
  <c r="R121" i="1" s="1"/>
  <c r="Q88" i="1"/>
  <c r="R88" i="1" s="1" a="1"/>
  <c r="R88" i="1" s="1"/>
  <c r="Q616" i="1"/>
  <c r="R616" i="1" s="1" a="1"/>
  <c r="R616" i="1" s="1"/>
  <c r="Q655" i="1"/>
  <c r="R655" i="1" s="1" a="1"/>
  <c r="R655" i="1" s="1"/>
  <c r="Q521" i="1"/>
  <c r="R521" i="1" s="1" a="1"/>
  <c r="R521" i="1" s="1"/>
  <c r="Q834" i="1"/>
  <c r="R834" i="1" s="1" a="1"/>
  <c r="R834" i="1" s="1"/>
  <c r="Q568" i="1"/>
  <c r="R568" i="1" s="1" a="1"/>
  <c r="R568" i="1" s="1"/>
  <c r="Q700" i="1"/>
  <c r="R700" i="1" s="1" a="1"/>
  <c r="R700" i="1" s="1"/>
  <c r="Q271" i="1"/>
  <c r="R271" i="1" s="1" a="1"/>
  <c r="R271" i="1" s="1"/>
  <c r="Q28" i="1"/>
  <c r="R28" i="1" s="1" a="1"/>
  <c r="R28" i="1" s="1"/>
  <c r="Q931" i="1"/>
  <c r="R931" i="1" s="1" a="1"/>
  <c r="R931" i="1" s="1"/>
  <c r="Q97" i="1"/>
  <c r="R97" i="1" s="1" a="1"/>
  <c r="R97" i="1" s="1"/>
  <c r="Q123" i="1"/>
  <c r="R123" i="1" s="1" a="1"/>
  <c r="R123" i="1" s="1"/>
  <c r="Q652" i="1"/>
  <c r="R652" i="1" s="1" a="1"/>
  <c r="R652" i="1" s="1"/>
  <c r="Q286" i="1"/>
  <c r="R286" i="1" s="1" a="1"/>
  <c r="R286" i="1" s="1"/>
  <c r="Q67" i="1"/>
  <c r="R67" i="1" s="1" a="1"/>
  <c r="R67" i="1" s="1"/>
  <c r="Q249" i="1"/>
  <c r="R249" i="1" s="1" a="1"/>
  <c r="R249" i="1" s="1"/>
  <c r="Q671" i="1"/>
  <c r="R671" i="1" s="1" a="1"/>
  <c r="R671" i="1" s="1"/>
  <c r="Q374" i="1"/>
  <c r="R374" i="1" s="1" a="1"/>
  <c r="R374" i="1" s="1"/>
  <c r="Q450" i="1"/>
  <c r="R450" i="1" s="1" a="1"/>
  <c r="R450" i="1" s="1"/>
  <c r="Q929" i="1"/>
  <c r="R929" i="1" s="1" a="1"/>
  <c r="R929" i="1" s="1"/>
  <c r="Q112" i="1"/>
  <c r="R112" i="1" s="1" a="1"/>
  <c r="R112" i="1" s="1"/>
  <c r="Q20" i="1"/>
  <c r="R20" i="1" s="1" a="1"/>
  <c r="R20" i="1" s="1"/>
  <c r="Q962" i="1"/>
  <c r="R962" i="1" s="1" a="1"/>
  <c r="R962" i="1" s="1"/>
  <c r="Q956" i="1"/>
  <c r="R956" i="1" s="1" a="1"/>
  <c r="R956" i="1" s="1"/>
  <c r="Q488" i="1"/>
  <c r="R488" i="1" s="1" a="1"/>
  <c r="R488" i="1" s="1"/>
  <c r="Q928" i="1"/>
  <c r="R928" i="1" s="1" a="1"/>
  <c r="R928" i="1" s="1"/>
  <c r="Q886" i="1"/>
  <c r="R886" i="1" s="1" a="1"/>
  <c r="R886" i="1" s="1"/>
  <c r="Q443" i="1"/>
  <c r="R443" i="1" s="1" a="1"/>
  <c r="R443" i="1" s="1"/>
  <c r="Q903" i="1"/>
  <c r="R903" i="1" s="1" a="1"/>
  <c r="R903" i="1" s="1"/>
  <c r="Q853" i="1"/>
  <c r="R853" i="1" s="1" a="1"/>
  <c r="R853" i="1" s="1"/>
  <c r="Q473" i="1"/>
  <c r="R473" i="1" s="1" a="1"/>
  <c r="R473" i="1" s="1"/>
  <c r="Q715" i="1"/>
  <c r="R715" i="1" s="1" a="1"/>
  <c r="R715" i="1" s="1"/>
  <c r="Q427" i="1"/>
  <c r="R427" i="1" s="1" a="1"/>
  <c r="R427" i="1" s="1"/>
  <c r="Q654" i="1"/>
  <c r="R654" i="1" s="1" a="1"/>
  <c r="R654" i="1" s="1"/>
  <c r="Q377" i="1"/>
  <c r="R377" i="1" s="1" a="1"/>
  <c r="R377" i="1" s="1"/>
  <c r="Q558" i="1"/>
  <c r="R558" i="1" s="1" a="1"/>
  <c r="R558" i="1" s="1"/>
  <c r="Q862" i="1"/>
  <c r="R862" i="1" s="1" a="1"/>
  <c r="R862" i="1" s="1"/>
  <c r="Q974" i="1"/>
  <c r="R974" i="1" s="1" a="1"/>
  <c r="R974" i="1" s="1"/>
  <c r="Q595" i="1"/>
  <c r="R595" i="1" s="1" a="1"/>
  <c r="R595" i="1" s="1"/>
  <c r="Q470" i="1"/>
  <c r="R470" i="1" s="1" a="1"/>
  <c r="R470" i="1" s="1"/>
  <c r="Q891" i="1"/>
  <c r="R891" i="1" s="1" a="1"/>
  <c r="R891" i="1" s="1"/>
  <c r="Q365" i="1"/>
  <c r="R365" i="1" s="1" a="1"/>
  <c r="R365" i="1" s="1"/>
  <c r="Q471" i="1"/>
  <c r="R471" i="1" s="1" a="1"/>
  <c r="R471" i="1" s="1"/>
  <c r="Q416" i="1"/>
  <c r="R416" i="1" s="1" a="1"/>
  <c r="R416" i="1" s="1"/>
  <c r="Q545" i="1"/>
  <c r="R545" i="1" s="1" a="1"/>
  <c r="R545" i="1" s="1"/>
  <c r="Q412" i="1"/>
  <c r="R412" i="1" s="1" a="1"/>
  <c r="R412" i="1" s="1"/>
  <c r="Q881" i="1"/>
  <c r="R881" i="1" s="1" a="1"/>
  <c r="R881" i="1" s="1"/>
  <c r="Q316" i="1"/>
  <c r="R316" i="1" s="1" a="1"/>
  <c r="R316" i="1" s="1"/>
  <c r="Q300" i="1"/>
  <c r="R300" i="1" s="1" a="1"/>
  <c r="R300" i="1" s="1"/>
  <c r="Q393" i="1"/>
  <c r="R393" i="1" s="1" a="1"/>
  <c r="R393" i="1" s="1"/>
  <c r="Q795" i="1"/>
  <c r="R795" i="1" s="1" a="1"/>
  <c r="R795" i="1" s="1"/>
  <c r="Q42" i="1"/>
  <c r="R42" i="1" s="1" a="1"/>
  <c r="R42" i="1" s="1"/>
  <c r="Q520" i="1"/>
  <c r="R520" i="1" s="1" a="1"/>
  <c r="R520" i="1" s="1"/>
  <c r="Q264" i="1"/>
  <c r="R264" i="1" s="1" a="1"/>
  <c r="R264" i="1" s="1"/>
  <c r="Q667" i="1"/>
  <c r="R667" i="1" s="1" a="1"/>
  <c r="R667" i="1" s="1"/>
  <c r="Q349" i="1"/>
  <c r="R349" i="1" s="1" a="1"/>
  <c r="R349" i="1" s="1"/>
  <c r="Q93" i="1"/>
  <c r="R93" i="1" s="1" a="1"/>
  <c r="R93" i="1" s="1"/>
  <c r="Q945" i="1"/>
  <c r="R945" i="1" s="1" a="1"/>
  <c r="R945" i="1" s="1"/>
  <c r="Q291" i="1"/>
  <c r="R291" i="1" s="1" a="1"/>
  <c r="R291" i="1" s="1"/>
  <c r="Q7" i="1"/>
  <c r="R7" i="1" s="1" a="1"/>
  <c r="R7" i="1" s="1"/>
  <c r="Q204" i="1"/>
  <c r="R204" i="1" s="1" a="1"/>
  <c r="R204" i="1" s="1"/>
  <c r="Q887" i="1"/>
  <c r="R887" i="1" s="1" a="1"/>
  <c r="R887" i="1" s="1"/>
  <c r="Q191" i="1"/>
  <c r="R191" i="1" s="1" a="1"/>
  <c r="R191" i="1" s="1"/>
  <c r="Q140" i="1"/>
  <c r="R140" i="1" s="1" a="1"/>
  <c r="R140" i="1" s="1"/>
  <c r="Q859" i="1"/>
  <c r="R859" i="1" s="1" a="1"/>
  <c r="R859" i="1" s="1"/>
  <c r="Q5" i="1"/>
  <c r="R5" i="1" s="1" a="1"/>
  <c r="R5" i="1" s="1"/>
  <c r="Q594" i="1"/>
  <c r="R594" i="1" s="1" a="1"/>
  <c r="R594" i="1" s="1"/>
  <c r="Q90" i="1"/>
  <c r="R90" i="1" s="1" a="1"/>
  <c r="R90" i="1" s="1"/>
  <c r="Q211" i="1"/>
  <c r="R211" i="1" s="1" a="1"/>
  <c r="R211" i="1" s="1"/>
  <c r="Q113" i="1"/>
  <c r="R113" i="1" s="1" a="1"/>
  <c r="R113" i="1" s="1"/>
  <c r="Q843" i="1"/>
  <c r="R843" i="1" s="1" a="1"/>
  <c r="R843" i="1" s="1"/>
  <c r="Q124" i="1"/>
  <c r="R124" i="1" s="1" a="1"/>
  <c r="R124" i="1" s="1"/>
  <c r="Q530" i="1"/>
  <c r="R530" i="1" s="1" a="1"/>
  <c r="R530" i="1" s="1"/>
  <c r="Q826" i="1"/>
  <c r="R826" i="1" s="1" a="1"/>
  <c r="R826" i="1" s="1"/>
  <c r="Q925" i="1"/>
  <c r="R925" i="1" s="1" a="1"/>
  <c r="R925" i="1" s="1"/>
  <c r="Q361" i="1"/>
  <c r="R361" i="1" s="1" a="1"/>
  <c r="R361" i="1" s="1"/>
  <c r="Q430" i="1"/>
  <c r="R430" i="1" s="1" a="1"/>
  <c r="R430" i="1" s="1"/>
  <c r="Q138" i="1"/>
  <c r="R138" i="1" s="1" a="1"/>
  <c r="R138" i="1" s="1"/>
  <c r="Q253" i="1"/>
  <c r="R253" i="1" s="1" a="1"/>
  <c r="R253" i="1" s="1"/>
  <c r="Q573" i="1"/>
  <c r="R573" i="1" s="1" a="1"/>
  <c r="R573" i="1" s="1"/>
  <c r="Q182" i="1"/>
  <c r="R182" i="1" s="1" a="1"/>
  <c r="R182" i="1" s="1"/>
  <c r="Q348" i="1"/>
  <c r="R348" i="1" s="1" a="1"/>
  <c r="R348" i="1" s="1"/>
  <c r="Q482" i="1"/>
  <c r="R482" i="1" s="1" a="1"/>
  <c r="R482" i="1" s="1"/>
  <c r="Q495" i="1"/>
  <c r="R495" i="1" s="1" a="1"/>
  <c r="R495" i="1" s="1"/>
  <c r="Q497" i="1"/>
  <c r="R497" i="1" s="1" a="1"/>
  <c r="R497" i="1" s="1"/>
  <c r="Q893" i="1"/>
  <c r="R893" i="1" s="1" a="1"/>
  <c r="R893" i="1" s="1"/>
  <c r="Q397" i="1"/>
  <c r="R397" i="1" s="1" a="1"/>
  <c r="R397" i="1" s="1"/>
  <c r="Q693" i="1"/>
  <c r="R693" i="1" s="1" a="1"/>
  <c r="R693" i="1" s="1"/>
  <c r="Q131" i="1"/>
  <c r="R131" i="1" s="1" a="1"/>
  <c r="R131" i="1" s="1"/>
  <c r="Q752" i="1"/>
  <c r="R752" i="1" s="1" a="1"/>
  <c r="R752" i="1" s="1"/>
  <c r="Q771" i="1"/>
  <c r="R771" i="1" s="1" a="1"/>
  <c r="R771" i="1" s="1"/>
  <c r="Q613" i="1"/>
  <c r="R613" i="1" s="1" a="1"/>
  <c r="R613" i="1" s="1"/>
  <c r="Q597" i="1"/>
  <c r="R597" i="1" s="1" a="1"/>
  <c r="R597" i="1" s="1"/>
  <c r="Q318" i="1"/>
  <c r="R318" i="1" s="1" a="1"/>
  <c r="R318" i="1" s="1"/>
  <c r="Q452" i="1"/>
  <c r="R452" i="1" s="1" a="1"/>
  <c r="R452" i="1" s="1"/>
  <c r="Q975" i="1"/>
  <c r="R975" i="1" s="1" a="1"/>
  <c r="R975" i="1" s="1"/>
  <c r="Q200" i="1"/>
  <c r="R200" i="1" s="1" a="1"/>
  <c r="R200" i="1" s="1"/>
  <c r="Q637" i="1"/>
  <c r="R637" i="1" s="1" a="1"/>
  <c r="R637" i="1" s="1"/>
  <c r="Q360" i="1"/>
  <c r="R360" i="1" s="1" a="1"/>
  <c r="R360" i="1" s="1"/>
  <c r="Q367" i="1"/>
  <c r="R367" i="1" s="1" a="1"/>
  <c r="R367" i="1" s="1"/>
  <c r="Q662" i="1"/>
  <c r="R662" i="1" s="1" a="1"/>
  <c r="R662" i="1" s="1"/>
  <c r="Q214" i="1"/>
  <c r="R214" i="1" s="1" a="1"/>
  <c r="R214" i="1" s="1"/>
  <c r="Q904" i="1"/>
  <c r="R904" i="1" s="1" a="1"/>
  <c r="R904" i="1" s="1"/>
  <c r="Q1001" i="1"/>
  <c r="R1001" i="1" s="1" a="1"/>
  <c r="R1001" i="1" s="1"/>
  <c r="Q959" i="1"/>
  <c r="R959" i="1" s="1" a="1"/>
  <c r="R959" i="1" s="1"/>
  <c r="Q466" i="1"/>
  <c r="R466" i="1" s="1" a="1"/>
  <c r="R466" i="1" s="1"/>
  <c r="Q852" i="1"/>
  <c r="R852" i="1" s="1" a="1"/>
  <c r="R852" i="1" s="1"/>
  <c r="Q458" i="1"/>
  <c r="R458" i="1" s="1" a="1"/>
  <c r="R458" i="1" s="1"/>
  <c r="Q274" i="1"/>
  <c r="R274" i="1" s="1" a="1"/>
  <c r="R274" i="1" s="1"/>
  <c r="Q683" i="1"/>
  <c r="R683" i="1" s="1" a="1"/>
  <c r="R683" i="1" s="1"/>
  <c r="Q651" i="1"/>
  <c r="R651" i="1" s="1" a="1"/>
  <c r="R651" i="1" s="1"/>
  <c r="Q541" i="1"/>
  <c r="R541" i="1" s="1" a="1"/>
  <c r="R541" i="1" s="1"/>
  <c r="Q740" i="1"/>
  <c r="R740" i="1" s="1" a="1"/>
  <c r="R740" i="1" s="1"/>
  <c r="Q538" i="1"/>
  <c r="R538" i="1" s="1" a="1"/>
  <c r="R538" i="1" s="1"/>
  <c r="Q994" i="1"/>
  <c r="R994" i="1" s="1" a="1"/>
  <c r="R994" i="1" s="1"/>
  <c r="Q94" i="1"/>
  <c r="R94" i="1" s="1" a="1"/>
  <c r="R94" i="1" s="1"/>
  <c r="Q110" i="1"/>
  <c r="R110" i="1" s="1" a="1"/>
  <c r="R110" i="1" s="1"/>
  <c r="Q657" i="1"/>
  <c r="R657" i="1" s="1" a="1"/>
  <c r="R657" i="1" s="1"/>
  <c r="Q328" i="1"/>
  <c r="R328" i="1" s="1" a="1"/>
  <c r="R328" i="1" s="1"/>
  <c r="Q943" i="1"/>
  <c r="R943" i="1" s="1" a="1"/>
  <c r="R943" i="1" s="1"/>
  <c r="Q248" i="1"/>
  <c r="R248" i="1" s="1" a="1"/>
  <c r="R248" i="1" s="1"/>
  <c r="Q252" i="1"/>
  <c r="R252" i="1" s="1" a="1"/>
  <c r="R252" i="1" s="1"/>
  <c r="Q440" i="1"/>
  <c r="R440" i="1" s="1" a="1"/>
  <c r="R440" i="1" s="1"/>
  <c r="Q990" i="1"/>
  <c r="R990" i="1" s="1" a="1"/>
  <c r="R990" i="1" s="1"/>
  <c r="Q757" i="1"/>
  <c r="R757" i="1" s="1" a="1"/>
  <c r="R757" i="1" s="1"/>
  <c r="Q55" i="1"/>
  <c r="R55" i="1" s="1" a="1"/>
  <c r="R55" i="1" s="1"/>
  <c r="Q195" i="1"/>
  <c r="R195" i="1" s="1" a="1"/>
  <c r="R195" i="1" s="1"/>
  <c r="Q968" i="1"/>
  <c r="R968" i="1" s="1" a="1"/>
  <c r="R968" i="1" s="1"/>
  <c r="Q64" i="1"/>
  <c r="R64" i="1" s="1" a="1"/>
  <c r="R64" i="1" s="1"/>
  <c r="Q763" i="1"/>
  <c r="R763" i="1" s="1" a="1"/>
  <c r="R763" i="1" s="1"/>
  <c r="Q812" i="1"/>
  <c r="R812" i="1" s="1" a="1"/>
  <c r="R812" i="1" s="1"/>
  <c r="Q409" i="1"/>
  <c r="R409" i="1" s="1" a="1"/>
  <c r="R409" i="1" s="1"/>
  <c r="Q203" i="1"/>
  <c r="R203" i="1" s="1" a="1"/>
  <c r="R203" i="1" s="1"/>
  <c r="Q745" i="1"/>
  <c r="R745" i="1" s="1" a="1"/>
  <c r="R745" i="1" s="1"/>
  <c r="Q791" i="1"/>
  <c r="R791" i="1" s="1" a="1"/>
  <c r="R791" i="1" s="1"/>
  <c r="Q57" i="1"/>
  <c r="R57" i="1" s="1" a="1"/>
  <c r="R57" i="1" s="1"/>
  <c r="Q554" i="1"/>
  <c r="R554" i="1" s="1" a="1"/>
  <c r="R554" i="1" s="1"/>
  <c r="Q451" i="1"/>
  <c r="R451" i="1" s="1" a="1"/>
  <c r="R451" i="1" s="1"/>
  <c r="Q491" i="1"/>
  <c r="R491" i="1" s="1" a="1"/>
  <c r="R491" i="1" s="1"/>
  <c r="Q53" i="1"/>
  <c r="R53" i="1" s="1" a="1"/>
  <c r="R53" i="1" s="1"/>
  <c r="Q145" i="1"/>
  <c r="R145" i="1" s="1" a="1"/>
  <c r="R145" i="1" s="1"/>
  <c r="Q659" i="1"/>
  <c r="R659" i="1" s="1" a="1"/>
  <c r="R659" i="1" s="1"/>
  <c r="Q522" i="1"/>
  <c r="R522" i="1" s="1" a="1"/>
  <c r="R522" i="1" s="1"/>
  <c r="Q759" i="1"/>
  <c r="R759" i="1" s="1" a="1"/>
  <c r="R759" i="1" s="1"/>
  <c r="Q635" i="1"/>
  <c r="R635" i="1" s="1" a="1"/>
  <c r="R635" i="1" s="1"/>
  <c r="Q235" i="1"/>
  <c r="R235" i="1" s="1" a="1"/>
  <c r="R235" i="1" s="1"/>
  <c r="Q463" i="1"/>
  <c r="R463" i="1" s="1" a="1"/>
  <c r="R463" i="1" s="1"/>
  <c r="Q799" i="1"/>
  <c r="R799" i="1" s="1" a="1"/>
  <c r="R799" i="1" s="1"/>
  <c r="Q70" i="1"/>
  <c r="R70" i="1" s="1" a="1"/>
  <c r="R70" i="1" s="1"/>
  <c r="Q358" i="1"/>
  <c r="R358" i="1" s="1" a="1"/>
  <c r="R358" i="1" s="1"/>
  <c r="Q314" i="1"/>
  <c r="R314" i="1" s="1" a="1"/>
  <c r="R314" i="1" s="1"/>
  <c r="Q629" i="1"/>
  <c r="R629" i="1" s="1" a="1"/>
  <c r="R629" i="1" s="1"/>
  <c r="Q867" i="1"/>
  <c r="R867" i="1" s="1" a="1"/>
  <c r="R867" i="1" s="1"/>
  <c r="Q189" i="1"/>
  <c r="R189" i="1" s="1" a="1"/>
  <c r="R189" i="1" s="1"/>
  <c r="Q638" i="1"/>
  <c r="R638" i="1" s="1" a="1"/>
  <c r="R638" i="1" s="1"/>
  <c r="Q343" i="1"/>
  <c r="R343" i="1" s="1" a="1"/>
  <c r="R343" i="1" s="1"/>
  <c r="Q319" i="1"/>
  <c r="R319" i="1" s="1" a="1"/>
  <c r="R319" i="1" s="1"/>
  <c r="Q833" i="1"/>
  <c r="R833" i="1" s="1" a="1"/>
  <c r="R833" i="1" s="1"/>
  <c r="Q166" i="1"/>
  <c r="R166" i="1" s="1" a="1"/>
  <c r="R166" i="1" s="1"/>
  <c r="Q392" i="1"/>
  <c r="R392" i="1" s="1" a="1"/>
  <c r="R392" i="1" s="1"/>
  <c r="Q792" i="1"/>
  <c r="R792" i="1" s="1" a="1"/>
  <c r="R792" i="1" s="1"/>
  <c r="Q480" i="1"/>
  <c r="R480" i="1" s="1" a="1"/>
  <c r="R480" i="1" s="1"/>
  <c r="Q483" i="1"/>
  <c r="R483" i="1" s="1" a="1"/>
  <c r="R483" i="1" s="1"/>
  <c r="Q934" i="1"/>
  <c r="R934" i="1" s="1" a="1"/>
  <c r="R934" i="1" s="1"/>
  <c r="Q486" i="1"/>
  <c r="R486" i="1" s="1" a="1"/>
  <c r="R486" i="1" s="1"/>
  <c r="Q778" i="1"/>
  <c r="R778" i="1" s="1" a="1"/>
  <c r="R778" i="1" s="1"/>
  <c r="Q474" i="1"/>
  <c r="R474" i="1" s="1" a="1"/>
  <c r="R474" i="1" s="1"/>
  <c r="Q924" i="1"/>
  <c r="R924" i="1" s="1" a="1"/>
  <c r="R924" i="1" s="1"/>
  <c r="Q375" i="1"/>
  <c r="R375" i="1" s="1" a="1"/>
  <c r="R375" i="1" s="1"/>
  <c r="Q243" i="1"/>
  <c r="R243" i="1" s="1" a="1"/>
  <c r="R243" i="1" s="1"/>
  <c r="Q298" i="1"/>
  <c r="R298" i="1" s="1" a="1"/>
  <c r="R298" i="1" s="1"/>
  <c r="Q333" i="1"/>
  <c r="R333" i="1" s="1" a="1"/>
  <c r="R333" i="1" s="1"/>
  <c r="Q345" i="1"/>
  <c r="R345" i="1" s="1" a="1"/>
  <c r="R345" i="1" s="1"/>
  <c r="Q457" i="1"/>
  <c r="R457" i="1" s="1" a="1"/>
  <c r="R457" i="1" s="1"/>
  <c r="Q685" i="1"/>
  <c r="R685" i="1" s="1" a="1"/>
  <c r="R685" i="1" s="1"/>
  <c r="Q114" i="1"/>
  <c r="R114" i="1" s="1" a="1"/>
  <c r="R114" i="1" s="1"/>
  <c r="Q176" i="1"/>
  <c r="R176" i="1" s="1" a="1"/>
  <c r="R176" i="1" s="1"/>
  <c r="Q863" i="1"/>
  <c r="R863" i="1" s="1" a="1"/>
  <c r="R863" i="1" s="1"/>
  <c r="Q202" i="1"/>
  <c r="R202" i="1" s="1" a="1"/>
  <c r="R202" i="1" s="1"/>
  <c r="Q571" i="1"/>
  <c r="R571" i="1" s="1" a="1"/>
  <c r="R571" i="1" s="1"/>
  <c r="Q909" i="1"/>
  <c r="R909" i="1" s="1" a="1"/>
  <c r="R909" i="1" s="1"/>
  <c r="Q390" i="1"/>
  <c r="R390" i="1" s="1" a="1"/>
  <c r="R390" i="1" s="1"/>
  <c r="Q692" i="1"/>
  <c r="R692" i="1" s="1" a="1"/>
  <c r="R692" i="1" s="1"/>
  <c r="Q569" i="1"/>
  <c r="R569" i="1" s="1" a="1"/>
  <c r="R569" i="1" s="1"/>
  <c r="Q980" i="1"/>
  <c r="R980" i="1" s="1" a="1"/>
  <c r="R980" i="1" s="1"/>
  <c r="Q307" i="1"/>
  <c r="R307" i="1" s="1" a="1"/>
  <c r="R307" i="1" s="1"/>
  <c r="Q324" i="1"/>
  <c r="R324" i="1" s="1" a="1"/>
  <c r="R324" i="1" s="1"/>
  <c r="Q978" i="1"/>
  <c r="R978" i="1" s="1" a="1"/>
  <c r="R978" i="1" s="1"/>
  <c r="Q782" i="1"/>
  <c r="R782" i="1" s="1" a="1"/>
  <c r="R782" i="1" s="1"/>
  <c r="Q686" i="1"/>
  <c r="R686" i="1" s="1" a="1"/>
  <c r="R686" i="1" s="1"/>
  <c r="Q107" i="1"/>
  <c r="R107" i="1" s="1" a="1"/>
  <c r="R107" i="1" s="1"/>
  <c r="Q396" i="1"/>
  <c r="R396" i="1" s="1" a="1"/>
  <c r="R396" i="1" s="1"/>
  <c r="Q797" i="1"/>
  <c r="R797" i="1" s="1" a="1"/>
  <c r="R797" i="1" s="1"/>
  <c r="Q310" i="1"/>
  <c r="R310" i="1" s="1" a="1"/>
  <c r="R310" i="1" s="1"/>
  <c r="Q707" i="1"/>
  <c r="R707" i="1" s="1" a="1"/>
  <c r="R707" i="1" s="1"/>
  <c r="Q52" i="1"/>
  <c r="R52" i="1" s="1" a="1"/>
  <c r="R52" i="1" s="1"/>
  <c r="Q30" i="1"/>
  <c r="R30" i="1" s="1" a="1"/>
  <c r="R30" i="1" s="1"/>
  <c r="Q589" i="1"/>
  <c r="R589" i="1" s="1" a="1"/>
  <c r="R589" i="1" s="1"/>
  <c r="Q871" i="1"/>
  <c r="R871" i="1" s="1" a="1"/>
  <c r="R871" i="1" s="1"/>
  <c r="Q898" i="1"/>
  <c r="R898" i="1" s="1" a="1"/>
  <c r="R898" i="1" s="1"/>
  <c r="Q805" i="1"/>
  <c r="R805" i="1" s="1" a="1"/>
  <c r="R805" i="1" s="1"/>
  <c r="Q818" i="1"/>
  <c r="R818" i="1" s="1" a="1"/>
  <c r="R818" i="1" s="1"/>
  <c r="Q180" i="1"/>
  <c r="R180" i="1" s="1" a="1"/>
  <c r="R180" i="1" s="1"/>
  <c r="Q9" i="1"/>
  <c r="R9" i="1" s="1" a="1"/>
  <c r="R9" i="1" s="1"/>
  <c r="Q804" i="1"/>
  <c r="R804" i="1" s="1" a="1"/>
  <c r="R804" i="1" s="1"/>
  <c r="Q781" i="1"/>
  <c r="R781" i="1" s="1" a="1"/>
  <c r="R781" i="1" s="1"/>
  <c r="Q453" i="1"/>
  <c r="R453" i="1" s="1" a="1"/>
  <c r="R453" i="1" s="1"/>
  <c r="Q721" i="1"/>
  <c r="R721" i="1" s="1" a="1"/>
  <c r="R721" i="1" s="1"/>
  <c r="Q619" i="1"/>
  <c r="R619" i="1" s="1" a="1"/>
  <c r="R619" i="1" s="1"/>
  <c r="Q940" i="1"/>
  <c r="R940" i="1" s="1" a="1"/>
  <c r="R940" i="1" s="1"/>
  <c r="Q645" i="1"/>
  <c r="R645" i="1" s="1" a="1"/>
  <c r="R645" i="1" s="1"/>
  <c r="Q738" i="1"/>
  <c r="R738" i="1" s="1" a="1"/>
  <c r="R738" i="1" s="1"/>
  <c r="Q313" i="1"/>
  <c r="R313" i="1" s="1" a="1"/>
  <c r="R313" i="1" s="1"/>
  <c r="Q14" i="1"/>
  <c r="R14" i="1" s="1" a="1"/>
  <c r="R14" i="1" s="1"/>
  <c r="Q858" i="1"/>
  <c r="R858" i="1" s="1" a="1"/>
  <c r="R858" i="1" s="1"/>
  <c r="Q579" i="1"/>
  <c r="R579" i="1" s="1" a="1"/>
  <c r="R579" i="1" s="1"/>
  <c r="Q658" i="1"/>
  <c r="R658" i="1" s="1" a="1"/>
  <c r="R658" i="1" s="1"/>
  <c r="Q464" i="1"/>
  <c r="R464" i="1" s="1" a="1"/>
  <c r="R464" i="1" s="1"/>
  <c r="Q937" i="1"/>
  <c r="R937" i="1" s="1" a="1"/>
  <c r="R937" i="1" s="1"/>
  <c r="Q897" i="1"/>
  <c r="R897" i="1" s="1" a="1"/>
  <c r="R897" i="1" s="1"/>
  <c r="Q241" i="1"/>
  <c r="R241" i="1" s="1" a="1"/>
  <c r="R241" i="1" s="1"/>
  <c r="Q653" i="1"/>
  <c r="R653" i="1" s="1" a="1"/>
  <c r="R653" i="1" s="1"/>
  <c r="Q997" i="1"/>
  <c r="R997" i="1" s="1" a="1"/>
  <c r="R997" i="1" s="1"/>
  <c r="Q746" i="1"/>
  <c r="R746" i="1" s="1" a="1"/>
  <c r="R746" i="1" s="1"/>
  <c r="Q674" i="1"/>
  <c r="R674" i="1" s="1" a="1"/>
  <c r="R674" i="1" s="1"/>
  <c r="Q54" i="1"/>
  <c r="R54" i="1" s="1" a="1"/>
  <c r="R54" i="1" s="1"/>
  <c r="Q552" i="1"/>
  <c r="R552" i="1" s="1" a="1"/>
  <c r="R552" i="1" s="1"/>
  <c r="Q477" i="1"/>
  <c r="R477" i="1" s="1" a="1"/>
  <c r="R477" i="1" s="1"/>
  <c r="Q353" i="1"/>
  <c r="R353" i="1" s="1" a="1"/>
  <c r="R353" i="1" s="1"/>
  <c r="Q955" i="1"/>
  <c r="R955" i="1" s="1" a="1"/>
  <c r="R955" i="1" s="1"/>
  <c r="Q267" i="1"/>
  <c r="R267" i="1" s="1" a="1"/>
  <c r="R267" i="1" s="1"/>
  <c r="Q849" i="1"/>
  <c r="R849" i="1" s="1" a="1"/>
  <c r="R849" i="1" s="1"/>
  <c r="Q3" i="1"/>
  <c r="R3" i="1" s="1" a="1"/>
  <c r="R3" i="1" s="1"/>
  <c r="Q354" i="1"/>
  <c r="R354" i="1" s="1" a="1"/>
  <c r="R354" i="1" s="1"/>
  <c r="Q599" i="1"/>
  <c r="R599" i="1" s="1" a="1"/>
  <c r="R599" i="1" s="1"/>
  <c r="Q8" i="1"/>
  <c r="R8" i="1" s="1" a="1"/>
  <c r="R8" i="1" s="1"/>
  <c r="Q380" i="1"/>
  <c r="R380" i="1" s="1" a="1"/>
  <c r="R380" i="1" s="1"/>
  <c r="Q724" i="1"/>
  <c r="R724" i="1" s="1" a="1"/>
  <c r="R724" i="1" s="1"/>
  <c r="Q827" i="1"/>
  <c r="R827" i="1" s="1" a="1"/>
  <c r="R827" i="1" s="1"/>
  <c r="Q708" i="1"/>
  <c r="R708" i="1" s="1" a="1"/>
  <c r="R708" i="1" s="1"/>
  <c r="Q793" i="1"/>
  <c r="R793" i="1" s="1" a="1"/>
  <c r="R793" i="1" s="1"/>
  <c r="Q285" i="1"/>
  <c r="R285" i="1" s="1" a="1"/>
  <c r="R285" i="1" s="1"/>
  <c r="Q158" i="1"/>
  <c r="R158" i="1" s="1" a="1"/>
  <c r="R158" i="1" s="1"/>
  <c r="Q468" i="1"/>
  <c r="R468" i="1" s="1" a="1"/>
  <c r="R468" i="1" s="1"/>
  <c r="Q177" i="1"/>
  <c r="R177" i="1" s="1" a="1"/>
  <c r="R177" i="1" s="1"/>
  <c r="Q494" i="1"/>
  <c r="R494" i="1" s="1" a="1"/>
  <c r="R494" i="1" s="1"/>
  <c r="Q696" i="1"/>
  <c r="R696" i="1" s="1" a="1"/>
  <c r="R696" i="1" s="1"/>
  <c r="Q907" i="1"/>
  <c r="R907" i="1" s="1" a="1"/>
  <c r="R907" i="1" s="1"/>
  <c r="Q86" i="1"/>
  <c r="R86" i="1" s="1" a="1"/>
  <c r="R86" i="1" s="1"/>
  <c r="Q321" i="1"/>
  <c r="R321" i="1" s="1" a="1"/>
  <c r="R321" i="1" s="1"/>
  <c r="Q971" i="1"/>
  <c r="R971" i="1" s="1" a="1"/>
  <c r="R971" i="1" s="1"/>
  <c r="Q643" i="1"/>
  <c r="R643" i="1" s="1" a="1"/>
  <c r="R643" i="1" s="1"/>
  <c r="Q504" i="1"/>
  <c r="R504" i="1" s="1" a="1"/>
  <c r="R504" i="1" s="1"/>
  <c r="Q455" i="1"/>
  <c r="R455" i="1" s="1" a="1"/>
  <c r="R455" i="1" s="1"/>
  <c r="Q957" i="1"/>
  <c r="R957" i="1" s="1" a="1"/>
  <c r="R957" i="1" s="1"/>
  <c r="Q402" i="1"/>
  <c r="R402" i="1" s="1" a="1"/>
  <c r="R402" i="1" s="1"/>
  <c r="Q320" i="1"/>
  <c r="R320" i="1" s="1" a="1"/>
  <c r="R320" i="1" s="1"/>
  <c r="Q644" i="1"/>
  <c r="R644" i="1" s="1" a="1"/>
  <c r="R644" i="1" s="1"/>
  <c r="Q650" i="1"/>
  <c r="R650" i="1" s="1" a="1"/>
  <c r="R650" i="1" s="1"/>
  <c r="Q565" i="1"/>
  <c r="R565" i="1" s="1" a="1"/>
  <c r="R565" i="1" s="1"/>
  <c r="Q400" i="1"/>
  <c r="R400" i="1" s="1" a="1"/>
  <c r="R400" i="1" s="1"/>
  <c r="Q80" i="1"/>
  <c r="R80" i="1" s="1" a="1"/>
  <c r="R80" i="1" s="1"/>
  <c r="Q979" i="1"/>
  <c r="R979" i="1" s="1" a="1"/>
  <c r="R979" i="1" s="1"/>
  <c r="Q330" i="1"/>
  <c r="R330" i="1" s="1" a="1"/>
  <c r="R330" i="1" s="1"/>
  <c r="Q828" i="1"/>
  <c r="R828" i="1" s="1" a="1"/>
  <c r="R828" i="1" s="1"/>
  <c r="Q218" i="1"/>
  <c r="R218" i="1" s="1" a="1"/>
  <c r="R218" i="1" s="1"/>
  <c r="Q425" i="1"/>
  <c r="R425" i="1" s="1" a="1"/>
  <c r="R425" i="1" s="1"/>
  <c r="Q151" i="1"/>
  <c r="R151" i="1" s="1" a="1"/>
  <c r="R151" i="1" s="1"/>
  <c r="Q272" i="1"/>
  <c r="R272" i="1" s="1" a="1"/>
  <c r="R272" i="1" s="1"/>
  <c r="Q303" i="1"/>
  <c r="R303" i="1" s="1" a="1"/>
  <c r="R303" i="1" s="1"/>
  <c r="Q583" i="1"/>
  <c r="R583" i="1" s="1" a="1"/>
  <c r="R583" i="1" s="1"/>
  <c r="Q101" i="1"/>
  <c r="R101" i="1" s="1" a="1"/>
  <c r="R101" i="1" s="1"/>
  <c r="Q717" i="1"/>
  <c r="R717" i="1" s="1" a="1"/>
  <c r="R717" i="1" s="1"/>
  <c r="Q511" i="1"/>
  <c r="R511" i="1" s="1" a="1"/>
  <c r="R511" i="1" s="1"/>
  <c r="Q516" i="1"/>
  <c r="R516" i="1" s="1" a="1"/>
  <c r="R516" i="1" s="1"/>
  <c r="Q445" i="1"/>
  <c r="R445" i="1" s="1" a="1"/>
  <c r="R445" i="1" s="1"/>
  <c r="Q262" i="1"/>
  <c r="R262" i="1" s="1" a="1"/>
  <c r="R262" i="1" s="1"/>
  <c r="Q215" i="1"/>
  <c r="R215" i="1" s="1" a="1"/>
  <c r="R215" i="1" s="1"/>
  <c r="Q725" i="1"/>
  <c r="R725" i="1" s="1" a="1"/>
  <c r="R725" i="1" s="1"/>
  <c r="Q171" i="1"/>
  <c r="R171" i="1" s="1" a="1"/>
  <c r="R171" i="1" s="1"/>
  <c r="Q703" i="1"/>
  <c r="R703" i="1" s="1" a="1"/>
  <c r="R703" i="1" s="1"/>
  <c r="Q76" i="1"/>
  <c r="R76" i="1" s="1" a="1"/>
  <c r="R76" i="1" s="1"/>
  <c r="Q188" i="1"/>
  <c r="R188" i="1" s="1" a="1"/>
  <c r="R188" i="1" s="1"/>
  <c r="Q557" i="1"/>
  <c r="R557" i="1" s="1" a="1"/>
  <c r="R557" i="1" s="1"/>
  <c r="Q526" i="1"/>
  <c r="R526" i="1" s="1" a="1"/>
  <c r="R526" i="1" s="1"/>
  <c r="Q806" i="1"/>
  <c r="R806" i="1" s="1" a="1"/>
  <c r="R806" i="1" s="1"/>
  <c r="Q695" i="1"/>
  <c r="R695" i="1" s="1" a="1"/>
  <c r="R695" i="1" s="1"/>
  <c r="Q837" i="1"/>
  <c r="R837" i="1" s="1" a="1"/>
  <c r="R837" i="1" s="1"/>
  <c r="Q946" i="1"/>
  <c r="R946" i="1" s="1" a="1"/>
  <c r="R946" i="1" s="1"/>
  <c r="Q431" i="1"/>
  <c r="R431" i="1" s="1" a="1"/>
  <c r="R431" i="1" s="1"/>
  <c r="Q889" i="1"/>
  <c r="R889" i="1" s="1" a="1"/>
  <c r="R889" i="1" s="1"/>
  <c r="Q340" i="1"/>
  <c r="R340" i="1" s="1" a="1"/>
  <c r="R340" i="1" s="1"/>
  <c r="Q489" i="1"/>
  <c r="R489" i="1" s="1" a="1"/>
  <c r="R489" i="1" s="1"/>
  <c r="Q948" i="1"/>
  <c r="R948" i="1" s="1" a="1"/>
  <c r="R948" i="1" s="1"/>
  <c r="Q85" i="1"/>
  <c r="R85" i="1" s="1" a="1"/>
  <c r="R85" i="1" s="1"/>
  <c r="Q146" i="1"/>
  <c r="R146" i="1" s="1" a="1"/>
  <c r="R146" i="1" s="1"/>
  <c r="Q546" i="1"/>
  <c r="R546" i="1" s="1" a="1"/>
  <c r="R546" i="1" s="1"/>
  <c r="Q838" i="1"/>
  <c r="R838" i="1" s="1" a="1"/>
  <c r="R838" i="1" s="1"/>
  <c r="Q329" i="1"/>
  <c r="R329" i="1" s="1" a="1"/>
  <c r="R329" i="1" s="1"/>
  <c r="Q461" i="1"/>
  <c r="R461" i="1" s="1" a="1"/>
  <c r="R461" i="1" s="1"/>
  <c r="Q808" i="1"/>
  <c r="R808" i="1" s="1" a="1"/>
  <c r="R808" i="1" s="1"/>
  <c r="Q79" i="1"/>
  <c r="R79" i="1" s="1" a="1"/>
  <c r="R79" i="1" s="1"/>
  <c r="Q985" i="1"/>
  <c r="R985" i="1" s="1" a="1"/>
  <c r="R985" i="1" s="1"/>
  <c r="Q647" i="1"/>
  <c r="R647" i="1" s="1" a="1"/>
  <c r="R647" i="1" s="1"/>
  <c r="Q921" i="1"/>
  <c r="R921" i="1" s="1" a="1"/>
  <c r="R921" i="1" s="1"/>
  <c r="Q976" i="1"/>
  <c r="R976" i="1" s="1" a="1"/>
  <c r="R976" i="1" s="1"/>
  <c r="Q841" i="1"/>
  <c r="R841" i="1" s="1" a="1"/>
  <c r="R841" i="1" s="1"/>
  <c r="Q756" i="1"/>
  <c r="R756" i="1" s="1" a="1"/>
  <c r="R756" i="1" s="1"/>
  <c r="Q219" i="1"/>
  <c r="R219" i="1" s="1" a="1"/>
  <c r="R219" i="1" s="1"/>
  <c r="Q614" i="1"/>
  <c r="R614" i="1" s="1" a="1"/>
  <c r="R614" i="1" s="1"/>
  <c r="Q866" i="1"/>
  <c r="R866" i="1" s="1" a="1"/>
  <c r="R866" i="1" s="1"/>
  <c r="Q758" i="1"/>
  <c r="R758" i="1" s="1" a="1"/>
  <c r="R758" i="1" s="1"/>
  <c r="Q991" i="1"/>
  <c r="R991" i="1" s="1" a="1"/>
  <c r="R991" i="1" s="1"/>
  <c r="Q966" i="1"/>
  <c r="R966" i="1" s="1" a="1"/>
  <c r="R966" i="1" s="1"/>
  <c r="Q536" i="1"/>
  <c r="R536" i="1" s="1" a="1"/>
  <c r="R536" i="1" s="1"/>
  <c r="Q719" i="1"/>
  <c r="R719" i="1" s="1" a="1"/>
  <c r="R719" i="1" s="1"/>
  <c r="Q213" i="1"/>
  <c r="R213" i="1" s="1" a="1"/>
  <c r="R213" i="1" s="1"/>
  <c r="Q509" i="1"/>
  <c r="R509" i="1" s="1" a="1"/>
  <c r="R509" i="1" s="1"/>
  <c r="Q148" i="1"/>
  <c r="R148" i="1" s="1" a="1"/>
  <c r="R148" i="1" s="1"/>
  <c r="Q923" i="1"/>
  <c r="R923" i="1" s="1" a="1"/>
  <c r="R923" i="1" s="1"/>
  <c r="Q914" i="1"/>
  <c r="R914" i="1" s="1" a="1"/>
  <c r="R914" i="1" s="1"/>
  <c r="Q410" i="1"/>
  <c r="R410" i="1" s="1" a="1"/>
  <c r="R410" i="1" s="1"/>
  <c r="Q751" i="1"/>
  <c r="R751" i="1" s="1" a="1"/>
  <c r="R751" i="1" s="1"/>
  <c r="Q669" i="1"/>
  <c r="R669" i="1" s="1" a="1"/>
  <c r="R669" i="1" s="1"/>
  <c r="Q880" i="1"/>
  <c r="R880" i="1" s="1" a="1"/>
  <c r="R880" i="1" s="1"/>
  <c r="Q415" i="1"/>
  <c r="R415" i="1" s="1" a="1"/>
  <c r="R415" i="1" s="1"/>
  <c r="Q830" i="1"/>
  <c r="R830" i="1" s="1" a="1"/>
  <c r="R830" i="1" s="1"/>
  <c r="Q406" i="1"/>
  <c r="R406" i="1" s="1" a="1"/>
  <c r="R406" i="1" s="1"/>
  <c r="Q74" i="1"/>
  <c r="R74" i="1" s="1" a="1"/>
  <c r="R74" i="1" s="1"/>
  <c r="Q786" i="1"/>
  <c r="R786" i="1" s="1" a="1"/>
  <c r="R786" i="1" s="1"/>
  <c r="Q29" i="1"/>
  <c r="R29" i="1" s="1" a="1"/>
  <c r="R29" i="1" s="1"/>
  <c r="Q68" i="1"/>
  <c r="R68" i="1" s="1" a="1"/>
  <c r="R68" i="1" s="1"/>
  <c r="Q226" i="1"/>
  <c r="R226" i="1" s="1" a="1"/>
  <c r="R226" i="1" s="1"/>
  <c r="Q712" i="1"/>
  <c r="R712" i="1" s="1" a="1"/>
  <c r="R712" i="1" s="1"/>
  <c r="Q690" i="1"/>
  <c r="R690" i="1" s="1" a="1"/>
  <c r="R690" i="1" s="1"/>
  <c r="Q311" i="1"/>
  <c r="R311" i="1" s="1" a="1"/>
  <c r="R311" i="1" s="1"/>
  <c r="Q851" i="1"/>
  <c r="R851" i="1" s="1" a="1"/>
  <c r="R851" i="1" s="1"/>
  <c r="Q591" i="1"/>
  <c r="R591" i="1" s="1" a="1"/>
  <c r="R591" i="1" s="1"/>
  <c r="Q531" i="1"/>
  <c r="R531" i="1" s="1" a="1"/>
  <c r="R531" i="1" s="1"/>
  <c r="Q39" i="1"/>
  <c r="R39" i="1" s="1" a="1"/>
  <c r="R39" i="1" s="1"/>
  <c r="Q75" i="1"/>
  <c r="R75" i="1" s="1" a="1"/>
  <c r="R75" i="1" s="1"/>
  <c r="Q947" i="1"/>
  <c r="R947" i="1" s="1" a="1"/>
  <c r="R947" i="1" s="1"/>
  <c r="Q229" i="1"/>
  <c r="R229" i="1" s="1" a="1"/>
  <c r="R229" i="1" s="1"/>
  <c r="Q670" i="1"/>
  <c r="R670" i="1" s="1" a="1"/>
  <c r="R670" i="1" s="1"/>
  <c r="Q92" i="1"/>
  <c r="R92" i="1" s="1" a="1"/>
  <c r="R92" i="1" s="1"/>
  <c r="Q18" i="1"/>
  <c r="R18" i="1" s="1" a="1"/>
  <c r="R18" i="1" s="1"/>
  <c r="Q446" i="1"/>
  <c r="R446" i="1" s="1" a="1"/>
  <c r="R446" i="1" s="1"/>
  <c r="Q24" i="1"/>
  <c r="R24" i="1" s="1" a="1"/>
  <c r="R24" i="1" s="1"/>
  <c r="Q533" i="1"/>
  <c r="R533" i="1" s="1" a="1"/>
  <c r="R533" i="1" s="1"/>
  <c r="Q535" i="1"/>
  <c r="R535" i="1" s="1" a="1"/>
  <c r="R535" i="1" s="1"/>
  <c r="Q865" i="1"/>
  <c r="R865" i="1" s="1" a="1"/>
  <c r="R865" i="1" s="1"/>
  <c r="Q356" i="1"/>
  <c r="R356" i="1" s="1" a="1"/>
  <c r="R356" i="1" s="1"/>
  <c r="Q105" i="1"/>
  <c r="R105" i="1" s="1" a="1"/>
  <c r="R105" i="1" s="1"/>
  <c r="Q984" i="1"/>
  <c r="R984" i="1" s="1" a="1"/>
  <c r="R984" i="1" s="1"/>
  <c r="Q347" i="1"/>
  <c r="R347" i="1" s="1" a="1"/>
  <c r="R347" i="1" s="1"/>
  <c r="Q469" i="1"/>
  <c r="R469" i="1" s="1" a="1"/>
  <c r="R469" i="1" s="1"/>
  <c r="Q680" i="1"/>
  <c r="R680" i="1" s="1" a="1"/>
  <c r="R680" i="1" s="1"/>
  <c r="Q293" i="1"/>
  <c r="R293" i="1" s="1" a="1"/>
  <c r="R293" i="1" s="1"/>
  <c r="Q648" i="1"/>
  <c r="R648" i="1" s="1" a="1"/>
  <c r="R648" i="1" s="1"/>
  <c r="Q503" i="1"/>
  <c r="R503" i="1" s="1" a="1"/>
  <c r="R503" i="1" s="1"/>
  <c r="Q465" i="1"/>
  <c r="R465" i="1" s="1" a="1"/>
  <c r="R465" i="1" s="1"/>
  <c r="Q748" i="1"/>
  <c r="R748" i="1" s="1" a="1"/>
  <c r="R748" i="1" s="1"/>
  <c r="Q993" i="1"/>
  <c r="R993" i="1" s="1" a="1"/>
  <c r="R993" i="1" s="1"/>
  <c r="Q266" i="1"/>
  <c r="R266" i="1" s="1" a="1"/>
  <c r="R266" i="1" s="1"/>
  <c r="Q221" i="1"/>
  <c r="R221" i="1" s="1" a="1"/>
  <c r="R221" i="1" s="1"/>
  <c r="Q868" i="1"/>
  <c r="R868" i="1" s="1" a="1"/>
  <c r="R868" i="1" s="1"/>
  <c r="Q617" i="1"/>
  <c r="R617" i="1" s="1" a="1"/>
  <c r="R617" i="1" s="1"/>
  <c r="Q403" i="1"/>
  <c r="R403" i="1" s="1" a="1"/>
  <c r="R403" i="1" s="1"/>
  <c r="Q173" i="1"/>
  <c r="R173" i="1" s="1" a="1"/>
  <c r="R173" i="1" s="1"/>
  <c r="Q170" i="1"/>
  <c r="R170" i="1" s="1" a="1"/>
  <c r="R170" i="1" s="1"/>
  <c r="Q472" i="1"/>
  <c r="R472" i="1" s="1" a="1"/>
  <c r="R472" i="1" s="1"/>
  <c r="Q414" i="1"/>
  <c r="R414" i="1" s="1" a="1"/>
  <c r="R414" i="1" s="1"/>
  <c r="Q584" i="1"/>
  <c r="R584" i="1" s="1" a="1"/>
  <c r="R584" i="1" s="1"/>
  <c r="Q196" i="1"/>
  <c r="R196" i="1" s="1" a="1"/>
  <c r="R196" i="1" s="1"/>
  <c r="Q181" i="1"/>
  <c r="R181" i="1" s="1" a="1"/>
  <c r="R181" i="1" s="1"/>
  <c r="Q847" i="1"/>
  <c r="R847" i="1" s="1" a="1"/>
  <c r="R847" i="1" s="1"/>
  <c r="Q883" i="1"/>
  <c r="R883" i="1" s="1" a="1"/>
  <c r="R883" i="1" s="1"/>
  <c r="Q323" i="1"/>
  <c r="R323" i="1" s="1" a="1"/>
  <c r="R323" i="1" s="1"/>
  <c r="Q884" i="1"/>
  <c r="R884" i="1" s="1" a="1"/>
  <c r="R884" i="1" s="1"/>
  <c r="Q315" i="1"/>
  <c r="R315" i="1" s="1" a="1"/>
  <c r="R315" i="1" s="1"/>
  <c r="Q289" i="1"/>
  <c r="R289" i="1" s="1" a="1"/>
  <c r="R289" i="1" s="1"/>
  <c r="Q190" i="1"/>
  <c r="R190" i="1" s="1" a="1"/>
  <c r="R190" i="1" s="1"/>
  <c r="Q10" i="1"/>
  <c r="R10" i="1" s="1" a="1"/>
  <c r="R10" i="1" s="1"/>
  <c r="Q165" i="1"/>
  <c r="R165" i="1" s="1" a="1"/>
  <c r="R165" i="1" s="1"/>
  <c r="Q132" i="1"/>
  <c r="R132" i="1" s="1" a="1"/>
  <c r="R132" i="1" s="1"/>
  <c r="Q259" i="1"/>
  <c r="R259" i="1" s="1" a="1"/>
  <c r="R259" i="1" s="1"/>
  <c r="Q902" i="1"/>
  <c r="R902" i="1" s="1" a="1"/>
  <c r="R902" i="1" s="1"/>
  <c r="Q625" i="1"/>
  <c r="R625" i="1" s="1" a="1"/>
  <c r="R625" i="1" s="1"/>
  <c r="Q201" i="1"/>
  <c r="R201" i="1" s="1" a="1"/>
  <c r="R201" i="1" s="1"/>
  <c r="Q387" i="1"/>
  <c r="R387" i="1" s="1" a="1"/>
  <c r="R387" i="1" s="1"/>
  <c r="Q17" i="1"/>
  <c r="R17" i="1" s="1" a="1"/>
  <c r="R17" i="1" s="1"/>
  <c r="Q593" i="1"/>
  <c r="R593" i="1" s="1" a="1"/>
  <c r="R593" i="1" s="1"/>
  <c r="Q467" i="1"/>
  <c r="R467" i="1" s="1" a="1"/>
  <c r="R467" i="1" s="1"/>
  <c r="Q896" i="1"/>
  <c r="R896" i="1" s="1" a="1"/>
  <c r="R896" i="1" s="1"/>
  <c r="Q938" i="1"/>
  <c r="R938" i="1" s="1" a="1"/>
  <c r="R938" i="1" s="1"/>
  <c r="Q720" i="1"/>
  <c r="R720" i="1" s="1" a="1"/>
  <c r="R720" i="1" s="1"/>
  <c r="Q317" i="1"/>
  <c r="R317" i="1" s="1" a="1"/>
  <c r="R317" i="1" s="1"/>
  <c r="Q977" i="1"/>
  <c r="R977" i="1" s="1" a="1"/>
  <c r="R977" i="1" s="1"/>
  <c r="Q456" i="1"/>
  <c r="R456" i="1" s="1" a="1"/>
  <c r="R456" i="1" s="1"/>
  <c r="Q407" i="1"/>
  <c r="R407" i="1" s="1" a="1"/>
  <c r="R407" i="1" s="1"/>
  <c r="Q178" i="1"/>
  <c r="R178" i="1" s="1" a="1"/>
  <c r="R178" i="1" s="1"/>
  <c r="Q706" i="1"/>
  <c r="R706" i="1" s="1" a="1"/>
  <c r="R706" i="1" s="1"/>
  <c r="Q126" i="1"/>
  <c r="R126" i="1" s="1" a="1"/>
  <c r="R126" i="1" s="1"/>
  <c r="Q970" i="1"/>
  <c r="R970" i="1" s="1" a="1"/>
  <c r="R970" i="1" s="1"/>
  <c r="Q941" i="1"/>
  <c r="R941" i="1" s="1" a="1"/>
  <c r="R941" i="1" s="1"/>
  <c r="Q217" i="1"/>
  <c r="R217" i="1" s="1" a="1"/>
  <c r="R217" i="1" s="1"/>
  <c r="Q100" i="1"/>
  <c r="R100" i="1" s="1" a="1"/>
  <c r="R100" i="1" s="1"/>
  <c r="Q673" i="1"/>
  <c r="R673" i="1" s="1" a="1"/>
  <c r="R673" i="1" s="1"/>
  <c r="Q620" i="1"/>
  <c r="R620" i="1" s="1" a="1"/>
  <c r="R620" i="1" s="1"/>
  <c r="Q125" i="1"/>
  <c r="R125" i="1" s="1" a="1"/>
  <c r="R125" i="1" s="1"/>
  <c r="Q47" i="1"/>
  <c r="R47" i="1" s="1" a="1"/>
  <c r="R47" i="1" s="1"/>
  <c r="Q133" i="1"/>
  <c r="R133" i="1" s="1" a="1"/>
  <c r="R133" i="1" s="1"/>
  <c r="Q381" i="1"/>
  <c r="R381" i="1" s="1" a="1"/>
  <c r="R381" i="1" s="1"/>
  <c r="Q691" i="1"/>
  <c r="R691" i="1" s="1" a="1"/>
  <c r="R691" i="1" s="1"/>
  <c r="Q269" i="1"/>
  <c r="R269" i="1" s="1" a="1"/>
  <c r="R269" i="1" s="1"/>
  <c r="Q433" i="1"/>
  <c r="R433" i="1" s="1" a="1"/>
  <c r="R433" i="1" s="1"/>
  <c r="Q600" i="1"/>
  <c r="R600" i="1" s="1" a="1"/>
  <c r="R600" i="1" s="1"/>
  <c r="Q81" i="1"/>
  <c r="R81" i="1" s="1" a="1"/>
  <c r="R81" i="1" s="1"/>
  <c r="Q825" i="1"/>
  <c r="R825" i="1" s="1" a="1"/>
  <c r="R825" i="1" s="1"/>
  <c r="Q233" i="1"/>
  <c r="R233" i="1" s="1" a="1"/>
  <c r="R233" i="1" s="1"/>
  <c r="Q577" i="1"/>
  <c r="R577" i="1" s="1" a="1"/>
  <c r="R577" i="1" s="1"/>
  <c r="Q168" i="1"/>
  <c r="R168" i="1" s="1" a="1"/>
  <c r="R168" i="1" s="1"/>
  <c r="Q926" i="1"/>
  <c r="R926" i="1" s="1" a="1"/>
  <c r="R926" i="1" s="1"/>
  <c r="Q43" i="1"/>
  <c r="R43" i="1" s="1" a="1"/>
  <c r="R43" i="1" s="1"/>
  <c r="Q892" i="1"/>
  <c r="R892" i="1" s="1" a="1"/>
  <c r="R892" i="1" s="1"/>
  <c r="Q698" i="1"/>
  <c r="R698" i="1" s="1" a="1"/>
  <c r="R698" i="1" s="1"/>
  <c r="Q870" i="1"/>
  <c r="R870" i="1" s="1" a="1"/>
  <c r="R870" i="1" s="1"/>
  <c r="Q639" i="1"/>
  <c r="R639" i="1" s="1" a="1"/>
  <c r="R639" i="1" s="1"/>
  <c r="Q295" i="1"/>
  <c r="R295" i="1" s="1" a="1"/>
  <c r="R295" i="1" s="1"/>
  <c r="Q341" i="1"/>
  <c r="R341" i="1" s="1" a="1"/>
  <c r="R341" i="1" s="1"/>
  <c r="Q842" i="1"/>
  <c r="R842" i="1" s="1" a="1"/>
  <c r="R842" i="1" s="1"/>
  <c r="Q935" i="1"/>
  <c r="R935" i="1" s="1" a="1"/>
  <c r="R935" i="1" s="1"/>
  <c r="Q479" i="1"/>
  <c r="R479" i="1" s="1" a="1"/>
  <c r="R479" i="1" s="1"/>
  <c r="Q973" i="1"/>
  <c r="R973" i="1" s="1" a="1"/>
  <c r="R973" i="1" s="1"/>
  <c r="Q899" i="1"/>
  <c r="R899" i="1" s="1" a="1"/>
  <c r="R899" i="1" s="1"/>
  <c r="Q95" i="1"/>
  <c r="R95" i="1" s="1" a="1"/>
  <c r="R95" i="1" s="1"/>
  <c r="Q566" i="1"/>
  <c r="R566" i="1" s="1" a="1"/>
  <c r="R566" i="1" s="1"/>
  <c r="Q622" i="1"/>
  <c r="R622" i="1" s="1" a="1"/>
  <c r="R622" i="1" s="1"/>
  <c r="Q326" i="1"/>
  <c r="R326" i="1" s="1" a="1"/>
  <c r="R326" i="1" s="1"/>
  <c r="Q821" i="1"/>
  <c r="R821" i="1" s="1" a="1"/>
  <c r="R821" i="1" s="1"/>
  <c r="Q888" i="1"/>
  <c r="R888" i="1" s="1" a="1"/>
  <c r="R888" i="1" s="1"/>
  <c r="Q705" i="1"/>
  <c r="R705" i="1" s="1" a="1"/>
  <c r="R705" i="1" s="1"/>
  <c r="Q265" i="1"/>
  <c r="R265" i="1" s="1" a="1"/>
  <c r="R265" i="1" s="1"/>
  <c r="Q49" i="1"/>
  <c r="R49" i="1" s="1" a="1"/>
  <c r="R49" i="1" s="1"/>
  <c r="Q964" i="1"/>
  <c r="R964" i="1" s="1" a="1"/>
  <c r="R964" i="1" s="1"/>
  <c r="Q135" i="1"/>
  <c r="R135" i="1" s="1" a="1"/>
  <c r="R135" i="1" s="1"/>
  <c r="Q872" i="1"/>
  <c r="R872" i="1" s="1" a="1"/>
  <c r="R872" i="1" s="1"/>
  <c r="Q87" i="1"/>
  <c r="R87" i="1" s="1" a="1"/>
  <c r="R87" i="1" s="1"/>
  <c r="Q784" i="1"/>
  <c r="R784" i="1" s="1" a="1"/>
  <c r="R784" i="1" s="1"/>
  <c r="Q641" i="1"/>
  <c r="R641" i="1" s="1" a="1"/>
  <c r="R641" i="1" s="1"/>
  <c r="Q419" i="1"/>
  <c r="R419" i="1" s="1" a="1"/>
  <c r="R419" i="1" s="1"/>
  <c r="Q21" i="1"/>
  <c r="R21" i="1" s="1" a="1"/>
  <c r="R21" i="1" s="1"/>
  <c r="Q432" i="1"/>
  <c r="R432" i="1" s="1" a="1"/>
  <c r="R432" i="1" s="1"/>
  <c r="Q22" i="1"/>
  <c r="R22" i="1" s="1" a="1"/>
  <c r="R22" i="1" s="1"/>
  <c r="Q322" i="1"/>
  <c r="R322" i="1" s="1" a="1"/>
  <c r="R322" i="1" s="1"/>
  <c r="Q694" i="1"/>
  <c r="R694" i="1" s="1" a="1"/>
  <c r="R694" i="1" s="1"/>
  <c r="Q304" i="1"/>
  <c r="R304" i="1" s="1" a="1"/>
  <c r="R304" i="1" s="1"/>
  <c r="Q927" i="1"/>
  <c r="R927" i="1" s="1" a="1"/>
  <c r="R927" i="1" s="1"/>
  <c r="Q424" i="1"/>
  <c r="R424" i="1" s="1" a="1"/>
  <c r="R424" i="1" s="1"/>
  <c r="Q155" i="1"/>
  <c r="R155" i="1" s="1" a="1"/>
  <c r="R155" i="1" s="1"/>
  <c r="Q524" i="1"/>
  <c r="R524" i="1" s="1" a="1"/>
  <c r="R524" i="1" s="1"/>
  <c r="Q761" i="1"/>
  <c r="R761" i="1" s="1" a="1"/>
  <c r="R761" i="1" s="1"/>
  <c r="Q344" i="1"/>
  <c r="R344" i="1" s="1" a="1"/>
  <c r="R344" i="1" s="1"/>
  <c r="Q733" i="1"/>
  <c r="R733" i="1" s="1" a="1"/>
  <c r="R733" i="1" s="1"/>
  <c r="Q969" i="1"/>
  <c r="R969" i="1" s="1" a="1"/>
  <c r="R969" i="1" s="1"/>
  <c r="Q421" i="1"/>
  <c r="R421" i="1" s="1" a="1"/>
  <c r="R421" i="1" s="1"/>
  <c r="Q869" i="1"/>
  <c r="R869" i="1" s="1" a="1"/>
  <c r="R869" i="1" s="1"/>
  <c r="Q770" i="1"/>
  <c r="R770" i="1" s="1" a="1"/>
  <c r="R770" i="1" s="1"/>
  <c r="Q448" i="1"/>
  <c r="R448" i="1" s="1" a="1"/>
  <c r="R448" i="1" s="1"/>
  <c r="Q45" i="1"/>
  <c r="R45" i="1" s="1" a="1"/>
  <c r="R45" i="1" s="1"/>
  <c r="Q910" i="1"/>
  <c r="R910" i="1" s="1" a="1"/>
  <c r="R910" i="1" s="1"/>
  <c r="Q172" i="1"/>
  <c r="R172" i="1" s="1" a="1"/>
  <c r="R172" i="1" s="1"/>
  <c r="Q836" i="1"/>
  <c r="R836" i="1" s="1" a="1"/>
  <c r="R836" i="1" s="1"/>
  <c r="Q823" i="1"/>
  <c r="R823" i="1" s="1" a="1"/>
  <c r="R823" i="1" s="1"/>
  <c r="Q989" i="1"/>
  <c r="R989" i="1" s="1" a="1"/>
  <c r="R989" i="1" s="1"/>
  <c r="Q621" i="1"/>
  <c r="R621" i="1" s="1" a="1"/>
  <c r="R621" i="1" s="1"/>
  <c r="Q630" i="1"/>
  <c r="R630" i="1" s="1" a="1"/>
  <c r="R630" i="1" s="1"/>
  <c r="Q490" i="1"/>
  <c r="R490" i="1" s="1" a="1"/>
  <c r="R490" i="1" s="1"/>
  <c r="Q287" i="1"/>
  <c r="R287" i="1" s="1" a="1"/>
  <c r="R287" i="1" s="1"/>
  <c r="Q59" i="1"/>
  <c r="R59" i="1" s="1" a="1"/>
  <c r="R59" i="1" s="1"/>
  <c r="Q309" i="1"/>
  <c r="R309" i="1" s="1" a="1"/>
  <c r="R309" i="1" s="1"/>
  <c r="Q23" i="1"/>
  <c r="R23" i="1" s="1" a="1"/>
  <c r="R23" i="1" s="1"/>
  <c r="Q152" i="1"/>
  <c r="R152" i="1" s="1" a="1"/>
  <c r="R152" i="1" s="1"/>
  <c r="Q562" i="1"/>
  <c r="R562" i="1" s="1" a="1"/>
  <c r="R562" i="1" s="1"/>
  <c r="Q499" i="1"/>
  <c r="R499" i="1" s="1" a="1"/>
  <c r="R499" i="1" s="1"/>
  <c r="Q582" i="1"/>
  <c r="R582" i="1" s="1" a="1"/>
  <c r="R582" i="1" s="1"/>
  <c r="Q626" i="1"/>
  <c r="R626" i="1" s="1" a="1"/>
  <c r="R626" i="1" s="1"/>
  <c r="Q668" i="1"/>
  <c r="R668" i="1" s="1" a="1"/>
  <c r="R668" i="1" s="1"/>
  <c r="Q855" i="1"/>
  <c r="R855" i="1" s="1" a="1"/>
  <c r="R855" i="1" s="1"/>
  <c r="Q279" i="1"/>
  <c r="R279" i="1" s="1" a="1"/>
  <c r="R279" i="1" s="1"/>
  <c r="Q689" i="1"/>
  <c r="R689" i="1" s="1" a="1"/>
  <c r="R689" i="1" s="1"/>
  <c r="Q60" i="1"/>
  <c r="R60" i="1" s="1" a="1"/>
  <c r="R60" i="1" s="1"/>
  <c r="Q408" i="1"/>
  <c r="R408" i="1" s="1" a="1"/>
  <c r="R408" i="1" s="1"/>
  <c r="Q255" i="1"/>
  <c r="R255" i="1" s="1" a="1"/>
  <c r="R255" i="1" s="1"/>
  <c r="Q776" i="1"/>
  <c r="R776" i="1" s="1" a="1"/>
  <c r="R776" i="1" s="1"/>
  <c r="Q610" i="1"/>
  <c r="R610" i="1" s="1" a="1"/>
  <c r="R610" i="1" s="1"/>
  <c r="Q730" i="1"/>
  <c r="R730" i="1" s="1" a="1"/>
  <c r="R730" i="1" s="1"/>
  <c r="Q628" i="1"/>
  <c r="R628" i="1" s="1" a="1"/>
  <c r="R628" i="1" s="1"/>
  <c r="Q942" i="1"/>
  <c r="R942" i="1" s="1" a="1"/>
  <c r="R942" i="1" s="1"/>
  <c r="Q731" i="1"/>
  <c r="R731" i="1" s="1" a="1"/>
  <c r="R731" i="1" s="1"/>
  <c r="Q734" i="1"/>
  <c r="R734" i="1" s="1" a="1"/>
  <c r="R734" i="1" s="1"/>
  <c r="Q912" i="1"/>
  <c r="R912" i="1" s="1" a="1"/>
  <c r="R912" i="1" s="1"/>
  <c r="Q861" i="1"/>
  <c r="R861" i="1" s="1" a="1"/>
  <c r="R861" i="1" s="1"/>
  <c r="Q960" i="1"/>
  <c r="R960" i="1" s="1" a="1"/>
  <c r="R960" i="1" s="1"/>
  <c r="Q728" i="1"/>
  <c r="R728" i="1" s="1" a="1"/>
  <c r="R728" i="1" s="1"/>
  <c r="Q732" i="1"/>
  <c r="R732" i="1" s="1" a="1"/>
  <c r="R732" i="1" s="1"/>
  <c r="Q31" i="1"/>
  <c r="R31" i="1" s="1" a="1"/>
  <c r="R31" i="1" s="1"/>
  <c r="Q860" i="1"/>
  <c r="R860" i="1" s="1" a="1"/>
  <c r="R860" i="1" s="1"/>
  <c r="Q346" i="1"/>
  <c r="R346" i="1" s="1" a="1"/>
  <c r="R346" i="1" s="1"/>
  <c r="Q561" i="1"/>
  <c r="R561" i="1" s="1" a="1"/>
  <c r="R561" i="1" s="1"/>
  <c r="Q906" i="1"/>
  <c r="R906" i="1" s="1" a="1"/>
  <c r="R906" i="1" s="1"/>
  <c r="Q238" i="1"/>
  <c r="R238" i="1" s="1" a="1"/>
  <c r="R238" i="1" s="1"/>
  <c r="Q544" i="1"/>
  <c r="R544" i="1" s="1" a="1"/>
  <c r="R544" i="1" s="1"/>
  <c r="Q560" i="1"/>
  <c r="R560" i="1" s="1" a="1"/>
  <c r="R560" i="1" s="1"/>
  <c r="Q588" i="1"/>
  <c r="R588" i="1" s="1" a="1"/>
  <c r="R588" i="1" s="1"/>
  <c r="Q339" i="1"/>
  <c r="R339" i="1" s="1" a="1"/>
  <c r="R339" i="1" s="1"/>
  <c r="Q163" i="1"/>
  <c r="R163" i="1" s="1" a="1"/>
  <c r="R163" i="1" s="1"/>
  <c r="Q417" i="1"/>
  <c r="R417" i="1" s="1" a="1"/>
  <c r="R417" i="1" s="1"/>
  <c r="Q194" i="1"/>
  <c r="R194" i="1" s="1" a="1"/>
  <c r="R194" i="1" s="1"/>
  <c r="Q905" i="1"/>
  <c r="R905" i="1" s="1" a="1"/>
  <c r="R905" i="1" s="1"/>
  <c r="Q254" i="1"/>
  <c r="R254" i="1" s="1" a="1"/>
  <c r="R254" i="1" s="1"/>
  <c r="Q684" i="1"/>
  <c r="R684" i="1" s="1" a="1"/>
  <c r="R684" i="1" s="1"/>
  <c r="Q933" i="1"/>
  <c r="R933" i="1" s="1" a="1"/>
  <c r="R933" i="1" s="1"/>
  <c r="Q519" i="1"/>
  <c r="R519" i="1" s="1" a="1"/>
  <c r="R519" i="1" s="1"/>
  <c r="Q234" i="1"/>
  <c r="R234" i="1" s="1" a="1"/>
  <c r="R234" i="1" s="1"/>
  <c r="Q747" i="1"/>
  <c r="R747" i="1" s="1" a="1"/>
  <c r="R747" i="1" s="1"/>
  <c r="Q749" i="1"/>
  <c r="R749" i="1" s="1" a="1"/>
  <c r="R749" i="1" s="1"/>
  <c r="Q681" i="1"/>
  <c r="R681" i="1" s="1" a="1"/>
  <c r="R681" i="1" s="1"/>
  <c r="Q623" i="1"/>
  <c r="R623" i="1" s="1" a="1"/>
  <c r="R623" i="1" s="1"/>
  <c r="Q376" i="1"/>
  <c r="R376" i="1" s="1" a="1"/>
  <c r="R376" i="1" s="1"/>
  <c r="Q845" i="1"/>
  <c r="R845" i="1" s="1" a="1"/>
  <c r="R845" i="1" s="1"/>
  <c r="Q25" i="1"/>
  <c r="R25" i="1" s="1" a="1"/>
  <c r="R25" i="1" s="1"/>
  <c r="Q116" i="1"/>
  <c r="R116" i="1" s="1" a="1"/>
  <c r="R116" i="1" s="1"/>
  <c r="Q809" i="1"/>
  <c r="R809" i="1" s="1" a="1"/>
  <c r="R809" i="1" s="1"/>
  <c r="Q542" i="1"/>
  <c r="R542" i="1" s="1" a="1"/>
  <c r="R542" i="1" s="1"/>
  <c r="Q308" i="1"/>
  <c r="R308" i="1" s="1" a="1"/>
  <c r="R308" i="1" s="1"/>
  <c r="Q604" i="1"/>
  <c r="R604" i="1" s="1" a="1"/>
  <c r="R604" i="1" s="1"/>
  <c r="Q496" i="1"/>
  <c r="R496" i="1" s="1" a="1"/>
  <c r="R496" i="1" s="1"/>
  <c r="Q19" i="1"/>
  <c r="R19" i="1" s="1" a="1"/>
  <c r="R19" i="1" s="1"/>
  <c r="Q460" i="1"/>
  <c r="R460" i="1" s="1" a="1"/>
  <c r="R460" i="1" s="1"/>
  <c r="Q334" i="1"/>
  <c r="R334" i="1" s="1" a="1"/>
  <c r="R334" i="1" s="1"/>
  <c r="Q529" i="1"/>
  <c r="R529" i="1" s="1" a="1"/>
  <c r="R529" i="1" s="1"/>
  <c r="Q44" i="1"/>
  <c r="R44" i="1" s="1" a="1"/>
  <c r="R44" i="1" s="1"/>
  <c r="Q27" i="1"/>
  <c r="R27" i="1" s="1" a="1"/>
  <c r="R27" i="1" s="1"/>
  <c r="Q436" i="1"/>
  <c r="R436" i="1" s="1" a="1"/>
  <c r="R436" i="1" s="1"/>
  <c r="Q864" i="1"/>
  <c r="R864" i="1" s="1" a="1"/>
  <c r="R864" i="1" s="1"/>
  <c r="Q998" i="1"/>
  <c r="R998" i="1" s="1" a="1"/>
  <c r="R998" i="1" s="1"/>
  <c r="Q505" i="1"/>
  <c r="R505" i="1" s="1" a="1"/>
  <c r="R505" i="1" s="1"/>
  <c r="Q603" i="1"/>
  <c r="R603" i="1" s="1" a="1"/>
  <c r="R603" i="1" s="1"/>
  <c r="Q930" i="1"/>
  <c r="R930" i="1" s="1" a="1"/>
  <c r="R930" i="1" s="1"/>
  <c r="Q877" i="1"/>
  <c r="R877" i="1" s="1" a="1"/>
  <c r="R877" i="1" s="1"/>
  <c r="Q646" i="1"/>
  <c r="R646" i="1" s="1" a="1"/>
  <c r="R646" i="1" s="1"/>
  <c r="Q444" i="1"/>
  <c r="R444" i="1" s="1" a="1"/>
  <c r="R444" i="1" s="1"/>
  <c r="Q82" i="1"/>
  <c r="R82" i="1" s="1" a="1"/>
  <c r="R82" i="1" s="1"/>
  <c r="Q961" i="1"/>
  <c r="R961" i="1" s="1" a="1"/>
  <c r="R961" i="1" s="1"/>
  <c r="Q288" i="1"/>
  <c r="R288" i="1" s="1" a="1"/>
  <c r="R288" i="1" s="1"/>
  <c r="Q944" i="1"/>
  <c r="R944" i="1" s="1" a="1"/>
  <c r="R944" i="1" s="1"/>
  <c r="Q702" i="1"/>
  <c r="R702" i="1" s="1" a="1"/>
  <c r="R702" i="1" s="1"/>
  <c r="Q302" i="1"/>
  <c r="R302" i="1" s="1" a="1"/>
  <c r="R302" i="1" s="1"/>
  <c r="Q661" i="1"/>
  <c r="R661" i="1" s="1" a="1"/>
  <c r="R661" i="1" s="1"/>
  <c r="Q282" i="1"/>
  <c r="R282" i="1" s="1" a="1"/>
  <c r="R282" i="1" s="1"/>
  <c r="Q814" i="1"/>
  <c r="R814" i="1" s="1" a="1"/>
  <c r="R814" i="1" s="1"/>
  <c r="Q56" i="1"/>
  <c r="R56" i="1" s="1" a="1"/>
  <c r="R56" i="1" s="1"/>
  <c r="Q115" i="1"/>
  <c r="R115" i="1" s="1" a="1"/>
  <c r="R115" i="1" s="1"/>
  <c r="Q807" i="1"/>
  <c r="R807" i="1" s="1" a="1"/>
  <c r="R807" i="1" s="1"/>
  <c r="Q816" i="1"/>
  <c r="R816" i="1" s="1" a="1"/>
  <c r="R816" i="1" s="1"/>
  <c r="Q41" i="1"/>
  <c r="R41" i="1" s="1" a="1"/>
  <c r="R41" i="1" s="1"/>
  <c r="Q846" i="1"/>
  <c r="R846" i="1" s="1" a="1"/>
  <c r="R846" i="1" s="1"/>
  <c r="Q498" i="1"/>
  <c r="R498" i="1" s="1" a="1"/>
  <c r="R498" i="1" s="1"/>
  <c r="Q394" i="1"/>
  <c r="R394" i="1" s="1" a="1"/>
  <c r="R394" i="1" s="1"/>
  <c r="Q106" i="1"/>
  <c r="R106" i="1" s="1" a="1"/>
  <c r="R106" i="1" s="1"/>
  <c r="Q247" i="1"/>
  <c r="R247" i="1" s="1" a="1"/>
  <c r="R247" i="1" s="1"/>
  <c r="Q711" i="1"/>
  <c r="R711" i="1" s="1" a="1"/>
  <c r="R711" i="1" s="1"/>
  <c r="Q281" i="1"/>
  <c r="R281" i="1" s="1" a="1"/>
  <c r="R281" i="1" s="1"/>
  <c r="Q878" i="1"/>
  <c r="R878" i="1" s="1" a="1"/>
  <c r="R878" i="1" s="1"/>
  <c r="Q796" i="1"/>
  <c r="R796" i="1" s="1" a="1"/>
  <c r="R796" i="1" s="1"/>
  <c r="Q555" i="1"/>
  <c r="R555" i="1" s="1" a="1"/>
  <c r="R555" i="1" s="1"/>
  <c r="Q162" i="1"/>
  <c r="R162" i="1" s="1" a="1"/>
  <c r="R162" i="1" s="1"/>
  <c r="Q487" i="1"/>
  <c r="R487" i="1" s="1" a="1"/>
  <c r="R487" i="1" s="1"/>
  <c r="Q642" i="1"/>
  <c r="R642" i="1" s="1" a="1"/>
  <c r="R642" i="1" s="1"/>
  <c r="Q142" i="1"/>
  <c r="R142" i="1" s="1" a="1"/>
  <c r="R142" i="1" s="1"/>
  <c r="Q665" i="1"/>
  <c r="R665" i="1" s="1" a="1"/>
  <c r="R665" i="1" s="1"/>
  <c r="Q987" i="1"/>
  <c r="R987" i="1" s="1" a="1"/>
  <c r="R987" i="1" s="1"/>
  <c r="Q222" i="1"/>
  <c r="R222" i="1" s="1" a="1"/>
  <c r="R222" i="1" s="1"/>
  <c r="Q205" i="1"/>
  <c r="R205" i="1" s="1" a="1"/>
  <c r="R205" i="1" s="1"/>
  <c r="Q306" i="1"/>
  <c r="R306" i="1" s="1" a="1"/>
  <c r="R306" i="1" s="1"/>
  <c r="Q515" i="1"/>
  <c r="R515" i="1" s="1" a="1"/>
  <c r="R515" i="1" s="1"/>
  <c r="Q108" i="1"/>
  <c r="R108" i="1" s="1" a="1"/>
  <c r="R108" i="1" s="1"/>
  <c r="Q26" i="1"/>
  <c r="R26" i="1" s="1" a="1"/>
  <c r="R26" i="1" s="1"/>
  <c r="Q62" i="1"/>
  <c r="R62" i="1" s="1" a="1"/>
  <c r="R62" i="1" s="1"/>
  <c r="Q727" i="1"/>
  <c r="R727" i="1" s="1" a="1"/>
  <c r="R727" i="1" s="1"/>
  <c r="Q501" i="1"/>
  <c r="R501" i="1" s="1" a="1"/>
  <c r="R501" i="1" s="1"/>
  <c r="Q548" i="1"/>
  <c r="R548" i="1" s="1" a="1"/>
  <c r="R548" i="1" s="1"/>
  <c r="Q63" i="1"/>
  <c r="R63" i="1" s="1" a="1"/>
  <c r="R63" i="1" s="1"/>
  <c r="Q134" i="1"/>
  <c r="R134" i="1" s="1" a="1"/>
  <c r="R134" i="1" s="1"/>
  <c r="Q768" i="1"/>
  <c r="R768" i="1" s="1" a="1"/>
  <c r="R768" i="1" s="1"/>
  <c r="Q967" i="1"/>
  <c r="R967" i="1" s="1" a="1"/>
  <c r="R967" i="1" s="1"/>
  <c r="Q572" i="1"/>
  <c r="R572" i="1" s="1" a="1"/>
  <c r="R572" i="1" s="1"/>
  <c r="Q741" i="1"/>
  <c r="R741" i="1" s="1" a="1"/>
  <c r="R741" i="1" s="1"/>
  <c r="Q549" i="1"/>
  <c r="R549" i="1" s="1" a="1"/>
  <c r="R549" i="1" s="1"/>
  <c r="Q197" i="1"/>
  <c r="R197" i="1" s="1" a="1"/>
  <c r="R197" i="1" s="1"/>
  <c r="Q364" i="1"/>
  <c r="R364" i="1" s="1" a="1"/>
  <c r="R364" i="1" s="1"/>
  <c r="Q850" i="1"/>
  <c r="R850" i="1" s="1" a="1"/>
  <c r="R850" i="1" s="1"/>
  <c r="Q722" i="1"/>
  <c r="R722" i="1" s="1" a="1"/>
  <c r="R722" i="1" s="1"/>
  <c r="Q83" i="1"/>
  <c r="R83" i="1" s="1" a="1"/>
  <c r="R83" i="1" s="1"/>
  <c r="Q38" i="1"/>
  <c r="R38" i="1" s="1" a="1"/>
  <c r="R38" i="1" s="1"/>
  <c r="Q327" i="1"/>
  <c r="R327" i="1" s="1" a="1"/>
  <c r="R327" i="1" s="1"/>
  <c r="Q736" i="1"/>
  <c r="R736" i="1" s="1" a="1"/>
  <c r="R736" i="1" s="1"/>
  <c r="Q876" i="1"/>
  <c r="R876" i="1" s="1" a="1"/>
  <c r="R876" i="1" s="1"/>
  <c r="Q602" i="1"/>
  <c r="R602" i="1" s="1" a="1"/>
  <c r="R602" i="1" s="1"/>
  <c r="Q713" i="1"/>
  <c r="R713" i="1" s="1" a="1"/>
  <c r="R713" i="1" s="1"/>
  <c r="Q687" i="1"/>
  <c r="R687" i="1" s="1" a="1"/>
  <c r="R687" i="1" s="1"/>
  <c r="Q137" i="1"/>
  <c r="R137" i="1" s="1" a="1"/>
  <c r="R137" i="1" s="1"/>
  <c r="Q35" i="1"/>
  <c r="R35" i="1" s="1" a="1"/>
  <c r="R35" i="1" s="1"/>
  <c r="Q954" i="1"/>
  <c r="R954" i="1" s="1" a="1"/>
  <c r="R954" i="1" s="1"/>
  <c r="Q357" i="1"/>
  <c r="R357" i="1" s="1" a="1"/>
  <c r="R357" i="1" s="1"/>
  <c r="Q995" i="1"/>
  <c r="R995" i="1" s="1" a="1"/>
  <c r="R995" i="1" s="1"/>
  <c r="Q649" i="1"/>
  <c r="R649" i="1" s="1" a="1"/>
  <c r="R649" i="1" s="1"/>
  <c r="Q764" i="1"/>
  <c r="R764" i="1" s="1" a="1"/>
  <c r="R764" i="1" s="1"/>
  <c r="Q779" i="1"/>
  <c r="R779" i="1" s="1" a="1"/>
  <c r="R779" i="1" s="1"/>
  <c r="Q564" i="1"/>
  <c r="R564" i="1" s="1" a="1"/>
  <c r="R564" i="1" s="1"/>
  <c r="Q294" i="1"/>
  <c r="R294" i="1" s="1" a="1"/>
  <c r="R294" i="1" s="1"/>
  <c r="Q581" i="1"/>
  <c r="R581" i="1" s="1" a="1"/>
  <c r="R581" i="1" s="1"/>
  <c r="Q936" i="1"/>
  <c r="R936" i="1" s="1" a="1"/>
  <c r="R936" i="1" s="1"/>
  <c r="Q130" i="1"/>
  <c r="R130" i="1" s="1" a="1"/>
  <c r="R130" i="1" s="1"/>
  <c r="Q983" i="1"/>
  <c r="R983" i="1" s="1" a="1"/>
  <c r="R983" i="1" s="1"/>
  <c r="Q40" i="1"/>
  <c r="R40" i="1" s="1" a="1"/>
  <c r="R40" i="1" s="1"/>
  <c r="Q517" i="1"/>
  <c r="R517" i="1" s="1" a="1"/>
  <c r="R517" i="1" s="1"/>
  <c r="Q1000" i="1"/>
  <c r="R1000" i="1" s="1" a="1"/>
  <c r="R1000" i="1" s="1"/>
  <c r="Q209" i="1"/>
  <c r="R209" i="1" s="1" a="1"/>
  <c r="R209" i="1" s="1"/>
  <c r="Q476" i="1"/>
  <c r="R476" i="1" s="1" a="1"/>
  <c r="R476" i="1" s="1"/>
  <c r="Q179" i="1"/>
  <c r="R179" i="1" s="1" a="1"/>
  <c r="R179" i="1" s="1"/>
  <c r="Q578" i="1"/>
  <c r="R578" i="1" s="1" a="1"/>
  <c r="R578" i="1" s="1"/>
  <c r="Q109" i="1"/>
  <c r="R109" i="1" s="1" a="1"/>
  <c r="R109" i="1" s="1"/>
  <c r="Q785" i="1"/>
  <c r="R785" i="1" s="1" a="1"/>
  <c r="R785" i="1" s="1"/>
  <c r="Q164" i="1"/>
  <c r="R164" i="1" s="1" a="1"/>
  <c r="R164" i="1" s="1"/>
  <c r="Q811" i="1"/>
  <c r="R811" i="1" s="1" a="1"/>
  <c r="R811" i="1" s="1"/>
  <c r="Q762" i="1"/>
  <c r="R762" i="1" s="1" a="1"/>
  <c r="R762" i="1" s="1"/>
  <c r="Q502" i="1"/>
  <c r="R502" i="1" s="1" a="1"/>
  <c r="R502" i="1" s="1"/>
  <c r="Q908" i="1"/>
  <c r="R908" i="1" s="1" a="1"/>
  <c r="R908" i="1" s="1"/>
  <c r="Q608" i="1"/>
  <c r="R608" i="1" s="1" a="1"/>
  <c r="R608" i="1" s="1"/>
  <c r="Q537" i="1"/>
  <c r="R537" i="1" s="1" a="1"/>
  <c r="R537" i="1" s="1"/>
  <c r="Q553" i="1"/>
  <c r="R553" i="1" s="1" a="1"/>
  <c r="R553" i="1" s="1"/>
  <c r="Q462" i="1"/>
  <c r="R462" i="1" s="1" a="1"/>
  <c r="R462" i="1" s="1"/>
  <c r="Q831" i="1"/>
  <c r="R831" i="1" s="1" a="1"/>
  <c r="R831" i="1" s="1"/>
  <c r="Q666" i="1"/>
  <c r="R666" i="1" s="1" a="1"/>
  <c r="R666" i="1" s="1"/>
  <c r="Q256" i="1"/>
  <c r="R256" i="1" s="1" a="1"/>
  <c r="R256" i="1" s="1"/>
  <c r="Q78" i="1"/>
  <c r="R78" i="1" s="1" a="1"/>
  <c r="R78" i="1" s="1"/>
  <c r="Q506" i="1"/>
  <c r="R506" i="1" s="1" a="1"/>
  <c r="R506" i="1" s="1"/>
  <c r="Q798" i="1"/>
  <c r="R798" i="1" s="1" a="1"/>
  <c r="R798" i="1" s="1"/>
  <c r="Q352" i="1"/>
  <c r="R352" i="1" s="1" a="1"/>
  <c r="R352" i="1" s="1"/>
  <c r="Q801" i="1"/>
  <c r="R801" i="1" s="1" a="1"/>
  <c r="R801" i="1" s="1"/>
  <c r="Q981" i="1"/>
  <c r="R981" i="1" s="1" a="1"/>
  <c r="R981" i="1" s="1"/>
  <c r="Q688" i="1"/>
  <c r="R688" i="1" s="1" a="1"/>
  <c r="R688" i="1" s="1"/>
  <c r="Q51" i="1"/>
  <c r="R51" i="1" s="1" a="1"/>
  <c r="R51" i="1" s="1"/>
  <c r="Q739" i="1"/>
  <c r="R739" i="1" s="1" a="1"/>
  <c r="R739" i="1" s="1"/>
  <c r="Q917" i="1"/>
  <c r="R917" i="1" s="1" a="1"/>
  <c r="R917" i="1" s="1"/>
  <c r="Q144" i="1"/>
  <c r="R144" i="1" s="1" a="1"/>
  <c r="R144" i="1" s="1"/>
  <c r="Q438" i="1"/>
  <c r="R438" i="1" s="1" a="1"/>
  <c r="R438" i="1" s="1"/>
  <c r="Q743" i="1"/>
  <c r="R743" i="1" s="1" a="1"/>
  <c r="R743" i="1" s="1"/>
  <c r="Q510" i="1"/>
  <c r="R510" i="1" s="1" a="1"/>
  <c r="R510" i="1" s="1"/>
  <c r="Q922" i="1"/>
  <c r="R922" i="1" s="1" a="1"/>
  <c r="R922" i="1" s="1"/>
  <c r="Q551" i="1"/>
  <c r="R551" i="1" s="1" a="1"/>
  <c r="R551" i="1" s="1"/>
  <c r="Q91" i="1"/>
  <c r="R91" i="1" s="1" a="1"/>
  <c r="R91" i="1" s="1"/>
  <c r="Q382" i="1"/>
  <c r="R382" i="1" s="1" a="1"/>
  <c r="R382" i="1" s="1"/>
  <c r="Q192" i="1"/>
  <c r="R192" i="1" s="1" a="1"/>
  <c r="R192" i="1" s="1"/>
  <c r="Q856" i="1"/>
  <c r="R856" i="1" s="1" a="1"/>
  <c r="R856" i="1" s="1"/>
  <c r="Q660" i="1"/>
  <c r="R660" i="1" s="1" a="1"/>
  <c r="R660" i="1" s="1"/>
  <c r="Q587" i="1"/>
  <c r="R587" i="1" s="1" a="1"/>
  <c r="R587" i="1" s="1"/>
  <c r="Q606" i="1"/>
  <c r="R606" i="1" s="1" a="1"/>
  <c r="R606" i="1" s="1"/>
  <c r="Q475" i="1"/>
  <c r="R475" i="1" s="1" a="1"/>
  <c r="R475" i="1" s="1"/>
  <c r="Q167" i="1"/>
  <c r="R167" i="1" s="1" a="1"/>
  <c r="R167" i="1" s="1"/>
  <c r="Q817" i="1"/>
  <c r="R817" i="1" s="1" a="1"/>
  <c r="R817" i="1" s="1"/>
  <c r="Q697" i="1"/>
  <c r="R697" i="1" s="1" a="1"/>
  <c r="R697" i="1" s="1"/>
  <c r="Q404" i="1"/>
  <c r="R404" i="1" s="1" a="1"/>
  <c r="R404" i="1" s="1"/>
  <c r="Q245" i="1"/>
  <c r="R245" i="1" s="1" a="1"/>
  <c r="R245" i="1" s="1"/>
  <c r="Q556" i="1"/>
  <c r="R556" i="1" s="1" a="1"/>
  <c r="R556" i="1" s="1"/>
  <c r="Q429" i="1"/>
  <c r="R429" i="1" s="1" a="1"/>
  <c r="R429" i="1" s="1"/>
  <c r="Q399" i="1"/>
  <c r="R399" i="1" s="1" a="1"/>
  <c r="R399" i="1" s="1"/>
  <c r="Q819" i="1"/>
  <c r="R819" i="1" s="1" a="1"/>
  <c r="R819" i="1" s="1"/>
  <c r="Q527" i="1"/>
  <c r="R527" i="1" s="1" a="1"/>
  <c r="R527" i="1" s="1"/>
  <c r="Q534" i="1"/>
  <c r="R534" i="1" s="1" a="1"/>
  <c r="R534" i="1" s="1"/>
  <c r="Q918" i="1"/>
  <c r="R918" i="1" s="1" a="1"/>
  <c r="R918" i="1" s="1"/>
  <c r="Q523" i="1"/>
  <c r="R523" i="1" s="1" a="1"/>
  <c r="R523" i="1" s="1"/>
  <c r="Q161" i="1"/>
  <c r="R161" i="1" s="1" a="1"/>
  <c r="R161" i="1" s="1"/>
  <c r="Q484" i="1"/>
  <c r="R484" i="1" s="1" a="1"/>
  <c r="R484" i="1" s="1"/>
  <c r="Q800" i="1"/>
  <c r="R800" i="1" s="1" a="1"/>
  <c r="R800" i="1" s="1"/>
  <c r="Q351" i="1"/>
  <c r="R351" i="1" s="1" a="1"/>
  <c r="R351" i="1" s="1"/>
  <c r="Q77" i="1"/>
  <c r="R77" i="1" s="1" a="1"/>
  <c r="R77" i="1" s="1"/>
  <c r="Q34" i="1"/>
  <c r="R34" i="1" s="1" a="1"/>
  <c r="R34" i="1" s="1"/>
  <c r="Q885" i="1"/>
  <c r="R885" i="1" s="1" a="1"/>
  <c r="R885" i="1" s="1"/>
  <c r="Q159" i="1"/>
  <c r="R159" i="1" s="1" a="1"/>
  <c r="R159" i="1" s="1"/>
  <c r="Q611" i="1"/>
  <c r="R611" i="1" s="1" a="1"/>
  <c r="R611" i="1" s="1"/>
  <c r="Q143" i="1"/>
  <c r="R143" i="1" s="1" a="1"/>
  <c r="R143" i="1" s="1"/>
  <c r="Q385" i="1"/>
  <c r="R385" i="1" s="1" a="1"/>
  <c r="R385" i="1" s="1"/>
  <c r="Q231" i="1"/>
  <c r="R231" i="1" s="1" a="1"/>
  <c r="R231" i="1" s="1"/>
  <c r="Q596" i="1"/>
  <c r="R596" i="1" s="1" a="1"/>
  <c r="R596" i="1" s="1"/>
  <c r="Q65" i="1"/>
  <c r="R65" i="1" s="1" a="1"/>
  <c r="R65" i="1" s="1"/>
  <c r="Q422" i="1"/>
  <c r="R422" i="1" s="1" a="1"/>
  <c r="R422" i="1" s="1"/>
  <c r="Q398" i="1"/>
  <c r="R398" i="1" s="1" a="1"/>
  <c r="R398" i="1" s="1"/>
  <c r="Q257" i="1"/>
  <c r="R257" i="1" s="1" a="1"/>
  <c r="R257" i="1" s="1"/>
  <c r="Q337" i="1"/>
  <c r="R337" i="1" s="1" a="1"/>
  <c r="R337" i="1" s="1"/>
  <c r="Q73" i="1"/>
  <c r="R73" i="1" s="1" a="1"/>
  <c r="R73" i="1" s="1"/>
  <c r="Q297" i="1"/>
  <c r="R297" i="1" s="1" a="1"/>
  <c r="R297" i="1" s="1"/>
  <c r="Q678" i="1"/>
  <c r="R678" i="1" s="1" a="1"/>
  <c r="R678" i="1" s="1"/>
  <c r="Q338" i="1"/>
  <c r="R338" i="1" s="1" a="1"/>
  <c r="R338" i="1" s="1"/>
  <c r="Q147" i="1"/>
  <c r="R147" i="1" s="1" a="1"/>
  <c r="R147" i="1" s="1"/>
  <c r="Q122" i="1"/>
  <c r="R122" i="1" s="1" a="1"/>
  <c r="R122" i="1" s="1"/>
  <c r="Q276" i="1"/>
  <c r="R276" i="1" s="1" a="1"/>
  <c r="R276" i="1" s="1"/>
  <c r="Q873" i="1"/>
  <c r="R873" i="1" s="1" a="1"/>
  <c r="R873" i="1" s="1"/>
  <c r="Q901" i="1"/>
  <c r="R901" i="1" s="1" a="1"/>
  <c r="R901" i="1" s="1"/>
  <c r="Q672" i="1"/>
  <c r="R672" i="1" s="1" a="1"/>
  <c r="R672" i="1" s="1"/>
  <c r="Q263" i="1"/>
  <c r="R263" i="1" s="1" a="1"/>
  <c r="R263" i="1" s="1"/>
  <c r="Q916" i="1"/>
  <c r="R916" i="1" s="1" a="1"/>
  <c r="R916" i="1" s="1"/>
  <c r="Q485" i="1"/>
  <c r="R485" i="1" s="1" a="1"/>
  <c r="R485" i="1" s="1"/>
  <c r="Q894" i="1"/>
  <c r="R894" i="1" s="1" a="1"/>
  <c r="R894" i="1" s="1"/>
  <c r="Q559" i="1"/>
  <c r="R559" i="1" s="1" a="1"/>
  <c r="R559" i="1" s="1"/>
  <c r="Q788" i="1"/>
  <c r="R788" i="1" s="1" a="1"/>
  <c r="R788" i="1" s="1"/>
  <c r="Q149" i="1"/>
  <c r="R149" i="1" s="1" a="1"/>
  <c r="R149" i="1" s="1"/>
  <c r="Q141" i="1"/>
  <c r="R141" i="1" s="1" a="1"/>
  <c r="R141" i="1" s="1"/>
  <c r="Q601" i="1"/>
  <c r="R601" i="1" s="1" a="1"/>
  <c r="R601" i="1" s="1"/>
  <c r="Q332" i="1"/>
  <c r="R332" i="1" s="1" a="1"/>
  <c r="R332" i="1" s="1"/>
  <c r="Q239" i="1"/>
  <c r="R239" i="1" s="1" a="1"/>
  <c r="R239" i="1" s="1"/>
  <c r="Q102" i="1"/>
  <c r="R102" i="1" s="1" a="1"/>
  <c r="R102" i="1" s="1"/>
  <c r="Q355" i="1"/>
  <c r="R355" i="1" s="1" a="1"/>
  <c r="R355" i="1" s="1"/>
  <c r="Q428" i="1"/>
  <c r="R428" i="1" s="1" a="1"/>
  <c r="R428" i="1" s="1"/>
  <c r="Q742" i="1"/>
  <c r="R742" i="1" s="1" a="1"/>
  <c r="R742" i="1" s="1"/>
  <c r="Q840" i="1"/>
  <c r="R840" i="1" s="1" a="1"/>
  <c r="R840" i="1" s="1"/>
  <c r="Q493" i="1"/>
  <c r="R493" i="1" s="1" a="1"/>
  <c r="R493" i="1" s="1"/>
  <c r="Q435" i="1"/>
  <c r="R435" i="1" s="1" a="1"/>
  <c r="R435" i="1" s="1"/>
  <c r="Q230" i="1"/>
  <c r="R230" i="1" s="1" a="1"/>
  <c r="R230" i="1" s="1"/>
  <c r="Q900" i="1"/>
  <c r="R900" i="1" s="1" a="1"/>
  <c r="R900" i="1" s="1"/>
  <c r="Q240" i="1"/>
  <c r="R240" i="1" s="1" a="1"/>
  <c r="R240" i="1" s="1"/>
  <c r="Q605" i="1"/>
  <c r="R605" i="1" s="1" a="1"/>
  <c r="R605" i="1" s="1"/>
  <c r="Q278" i="1"/>
  <c r="R278" i="1" s="1" a="1"/>
  <c r="R278" i="1" s="1"/>
  <c r="Q508" i="1"/>
  <c r="R508" i="1" s="1" a="1"/>
  <c r="R508" i="1" s="1"/>
  <c r="Q420" i="1"/>
  <c r="R420" i="1" s="1" a="1"/>
  <c r="R420" i="1" s="1"/>
  <c r="Q513" i="1"/>
  <c r="R513" i="1" s="1" a="1"/>
  <c r="R513" i="1" s="1"/>
  <c r="Q372" i="1"/>
  <c r="R372" i="1" s="1" a="1"/>
  <c r="R372" i="1" s="1"/>
  <c r="Q220" i="1"/>
  <c r="R220" i="1" s="1" a="1"/>
  <c r="R220" i="1" s="1"/>
  <c r="Q857" i="1"/>
  <c r="R857" i="1" s="1" a="1"/>
  <c r="R857" i="1" s="1"/>
  <c r="Q36" i="1"/>
  <c r="R36" i="1" s="1" a="1"/>
  <c r="R36" i="1" s="1"/>
  <c r="Q160" i="1"/>
  <c r="R160" i="1" s="1" a="1"/>
  <c r="R160" i="1" s="1"/>
  <c r="Q119" i="1"/>
  <c r="R119" i="1" s="1" a="1"/>
  <c r="R119" i="1" s="1"/>
  <c r="Q69" i="1"/>
  <c r="R69" i="1" s="1" a="1"/>
  <c r="R69" i="1" s="1"/>
  <c r="Q794" i="1"/>
  <c r="R794" i="1" s="1" a="1"/>
  <c r="R794" i="1" s="1"/>
  <c r="Q585" i="1"/>
  <c r="R585" i="1" s="1" a="1"/>
  <c r="R585" i="1" s="1"/>
  <c r="Q563" i="1"/>
  <c r="R563" i="1" s="1" a="1"/>
  <c r="R563" i="1" s="1"/>
  <c r="Q735" i="1"/>
  <c r="R735" i="1" s="1" a="1"/>
  <c r="R735" i="1" s="1"/>
  <c r="Q449" i="1"/>
  <c r="R449" i="1" s="1" a="1"/>
  <c r="R449" i="1" s="1"/>
  <c r="Q447" i="1"/>
  <c r="R447" i="1" s="1" a="1"/>
  <c r="R447" i="1" s="1"/>
  <c r="Q570" i="1"/>
  <c r="R570" i="1" s="1" a="1"/>
  <c r="R570" i="1" s="1"/>
  <c r="Q879" i="1"/>
  <c r="R879" i="1" s="1" a="1"/>
  <c r="R879" i="1" s="1"/>
  <c r="Q760" i="1"/>
  <c r="R760" i="1" s="1" a="1"/>
  <c r="R760" i="1" s="1"/>
  <c r="Q664" i="1"/>
  <c r="R664" i="1" s="1" a="1"/>
  <c r="R664" i="1" s="1"/>
  <c r="Q714" i="1"/>
  <c r="R714" i="1" s="1" a="1"/>
  <c r="R714" i="1" s="1"/>
  <c r="Q185" i="1"/>
  <c r="R185" i="1" s="1" a="1"/>
  <c r="R185" i="1" s="1"/>
  <c r="Q716" i="1"/>
  <c r="R716" i="1" s="1" a="1"/>
  <c r="R716" i="1" s="1"/>
  <c r="Q882" i="1"/>
  <c r="R882" i="1" s="1" a="1"/>
  <c r="R882" i="1" s="1"/>
  <c r="Q198" i="1"/>
  <c r="R198" i="1" s="1" a="1"/>
  <c r="R198" i="1" s="1"/>
  <c r="Q618" i="1"/>
  <c r="R618" i="1" s="1" a="1"/>
  <c r="R618" i="1" s="1"/>
  <c r="Q50" i="1"/>
  <c r="R50" i="1" s="1" a="1"/>
  <c r="R50" i="1" s="1"/>
  <c r="Q932" i="1"/>
  <c r="R932" i="1" s="1" a="1"/>
  <c r="R932" i="1" s="1"/>
  <c r="Q129" i="1"/>
  <c r="R129" i="1" s="1" a="1"/>
  <c r="R129" i="1" s="1"/>
  <c r="Q120" i="1"/>
  <c r="R120" i="1" s="1" a="1"/>
  <c r="R120" i="1" s="1"/>
  <c r="Q371" i="1"/>
  <c r="R371" i="1" s="1" a="1"/>
  <c r="R371" i="1" s="1"/>
  <c r="Q270" i="1"/>
  <c r="R270" i="1" s="1" a="1"/>
  <c r="R270" i="1" s="1"/>
  <c r="Q401" i="1"/>
  <c r="R401" i="1" s="1" a="1"/>
  <c r="R401" i="1" s="1"/>
  <c r="Q598" i="1"/>
  <c r="R598" i="1" s="1" a="1"/>
  <c r="R598" i="1" s="1"/>
  <c r="Q439" i="1"/>
  <c r="R439" i="1" s="1" a="1"/>
  <c r="R439" i="1" s="1"/>
  <c r="Q709" i="1"/>
  <c r="R709" i="1" s="1" a="1"/>
  <c r="R709" i="1" s="1"/>
  <c r="Q237" i="1"/>
  <c r="R237" i="1" s="1" a="1"/>
  <c r="R237" i="1" s="1"/>
  <c r="Q810" i="1"/>
  <c r="R810" i="1" s="1" a="1"/>
  <c r="R810" i="1" s="1"/>
  <c r="Q829" i="1"/>
  <c r="R829" i="1" s="1" a="1"/>
  <c r="R829" i="1" s="1"/>
  <c r="Q331" i="1"/>
  <c r="R331" i="1" s="1" a="1"/>
  <c r="R331" i="1" s="1"/>
  <c r="Q624" i="1"/>
  <c r="R624" i="1" s="1" a="1"/>
  <c r="R624" i="1" s="1"/>
  <c r="Q699" i="1"/>
  <c r="R699" i="1" s="1" a="1"/>
  <c r="R699" i="1" s="1"/>
  <c r="Q193" i="1"/>
  <c r="R193" i="1" s="1" a="1"/>
  <c r="R193" i="1" s="1"/>
  <c r="Q682" i="1"/>
  <c r="R682" i="1" s="1" a="1"/>
  <c r="R682" i="1" s="1"/>
  <c r="Q874" i="1"/>
  <c r="R874" i="1" s="1" a="1"/>
  <c r="R874" i="1" s="1"/>
  <c r="Q103" i="1"/>
  <c r="R103" i="1" s="1" a="1"/>
  <c r="R103" i="1" s="1"/>
  <c r="Q384" i="1"/>
  <c r="R384" i="1" s="1" a="1"/>
  <c r="R384" i="1" s="1"/>
  <c r="Q16" i="1"/>
  <c r="R16" i="1" s="1" a="1"/>
  <c r="R16" i="1" s="1"/>
  <c r="Q251" i="1"/>
  <c r="R251" i="1" s="1" a="1"/>
  <c r="R251" i="1" s="1"/>
  <c r="Q481" i="1"/>
  <c r="R481" i="1" s="1" a="1"/>
  <c r="R481" i="1" s="1"/>
  <c r="Q96" i="1"/>
  <c r="R96" i="1" s="1" a="1"/>
  <c r="R96" i="1" s="1"/>
  <c r="Q772" i="1"/>
  <c r="R772" i="1" s="1" a="1"/>
  <c r="R772" i="1" s="1"/>
  <c r="Q815" i="1"/>
  <c r="R815" i="1" s="1" a="1"/>
  <c r="R815" i="1" s="1"/>
  <c r="Q737" i="1"/>
  <c r="R737" i="1" s="1" a="1"/>
  <c r="R737" i="1" s="1"/>
  <c r="Q631" i="1"/>
  <c r="R631" i="1" s="1" a="1"/>
  <c r="R631" i="1" s="1"/>
  <c r="Q157" i="1"/>
  <c r="R157" i="1" s="1" a="1"/>
  <c r="R157" i="1" s="1"/>
  <c r="Q528" i="1"/>
  <c r="R528" i="1" s="1" a="1"/>
  <c r="R528" i="1" s="1"/>
  <c r="Q787" i="1"/>
  <c r="R787" i="1" s="1" a="1"/>
  <c r="R787" i="1" s="1"/>
  <c r="Q366" i="1"/>
  <c r="R366" i="1" s="1" a="1"/>
  <c r="R366" i="1" s="1"/>
  <c r="Q634" i="1"/>
  <c r="R634" i="1" s="1" a="1"/>
  <c r="R634" i="1" s="1"/>
  <c r="Q227" i="1"/>
  <c r="R227" i="1" s="1" a="1"/>
  <c r="R227" i="1" s="1"/>
  <c r="Q395" i="1"/>
  <c r="R395" i="1" s="1" a="1"/>
  <c r="R395" i="1" s="1"/>
  <c r="Q66" i="1"/>
  <c r="R66" i="1" s="1" a="1"/>
  <c r="R66" i="1" s="1"/>
  <c r="Q567" i="1"/>
  <c r="R567" i="1" s="1" a="1"/>
  <c r="R567" i="1" s="1"/>
  <c r="Q48" i="1"/>
  <c r="R48" i="1" s="1" a="1"/>
  <c r="R48" i="1" s="1"/>
  <c r="Q895" i="1"/>
  <c r="R895" i="1" s="1" a="1"/>
  <c r="R895" i="1" s="1"/>
  <c r="Q128" i="1"/>
  <c r="R128" i="1" s="1" a="1"/>
  <c r="R128" i="1" s="1"/>
  <c r="Q543" i="1"/>
  <c r="R543" i="1" s="1" a="1"/>
  <c r="R543" i="1" s="1"/>
  <c r="Q71" i="1"/>
  <c r="R71" i="1" s="1" a="1"/>
  <c r="R71" i="1" s="1"/>
  <c r="Q391" i="1"/>
  <c r="R391" i="1" s="1" a="1"/>
  <c r="R391" i="1" s="1"/>
  <c r="Q636" i="1"/>
  <c r="R636" i="1" s="1" a="1"/>
  <c r="R636" i="1" s="1"/>
  <c r="Q225" i="1"/>
  <c r="R225" i="1" s="1" a="1"/>
  <c r="R225" i="1" s="1"/>
  <c r="Q242" i="1"/>
  <c r="R242" i="1" s="1" a="1"/>
  <c r="R242" i="1" s="1"/>
  <c r="Q175" i="1"/>
  <c r="R175" i="1" s="1" a="1"/>
  <c r="R175" i="1" s="1"/>
  <c r="Q607" i="1"/>
  <c r="R607" i="1" s="1" a="1"/>
  <c r="R607" i="1" s="1"/>
  <c r="Q212" i="1"/>
  <c r="R212" i="1" s="1" a="1"/>
  <c r="R212" i="1" s="1"/>
  <c r="Q136" i="1"/>
  <c r="R136" i="1" s="1" a="1"/>
  <c r="R136" i="1" s="1"/>
  <c r="Q820" i="1"/>
  <c r="R820" i="1" s="1" a="1"/>
  <c r="R820" i="1" s="1"/>
  <c r="Q783" i="1"/>
  <c r="R783" i="1" s="1" a="1"/>
  <c r="R783" i="1" s="1"/>
  <c r="Q199" i="1"/>
  <c r="R199" i="1" s="1" a="1"/>
  <c r="R199" i="1" s="1"/>
  <c r="Q117" i="1"/>
  <c r="R117" i="1" s="1" a="1"/>
  <c r="R117" i="1" s="1"/>
  <c r="Q207" i="1"/>
  <c r="R207" i="1" s="1" a="1"/>
  <c r="R207" i="1" s="1"/>
  <c r="Q186" i="1"/>
  <c r="R186" i="1" s="1" a="1"/>
  <c r="R186" i="1" s="1"/>
  <c r="Q260" i="1"/>
  <c r="R260" i="1" s="1" a="1"/>
  <c r="R260" i="1" s="1"/>
  <c r="Q423" i="1"/>
  <c r="R423" i="1" s="1" a="1"/>
  <c r="R423" i="1" s="1"/>
  <c r="Q950" i="1"/>
  <c r="R950" i="1" s="1" a="1"/>
  <c r="R950" i="1" s="1"/>
  <c r="Q46" i="1"/>
  <c r="R46" i="1" s="1" a="1"/>
  <c r="R46" i="1" s="1"/>
  <c r="Q920" i="1"/>
  <c r="R920" i="1" s="1" a="1"/>
  <c r="R920" i="1" s="1"/>
  <c r="Q418" i="1"/>
  <c r="R418" i="1" s="1" a="1"/>
  <c r="R418" i="1" s="1"/>
  <c r="Q216" i="1"/>
  <c r="R216" i="1" s="1" a="1"/>
  <c r="R216" i="1" s="1"/>
  <c r="Q951" i="1"/>
  <c r="R951" i="1" s="1" a="1"/>
  <c r="R951" i="1" s="1"/>
  <c r="Q580" i="1"/>
  <c r="R580" i="1" s="1" a="1"/>
  <c r="R580" i="1" s="1"/>
  <c r="Q4" i="1"/>
  <c r="R4" i="1" s="1" a="1"/>
  <c r="R4" i="1" s="1"/>
  <c r="Q986" i="1"/>
  <c r="R986" i="1" s="1" a="1"/>
  <c r="R986" i="1" s="1"/>
  <c r="Q813" i="1"/>
  <c r="R813" i="1" s="1" a="1"/>
  <c r="R813" i="1" s="1"/>
  <c r="Q744" i="1"/>
  <c r="R744" i="1" s="1" a="1"/>
  <c r="R744" i="1" s="1"/>
  <c r="Q292" i="1"/>
  <c r="R292" i="1" s="1" a="1"/>
  <c r="R292" i="1" s="1"/>
  <c r="Q992" i="1"/>
  <c r="R992" i="1" s="1" a="1"/>
  <c r="R992" i="1" s="1"/>
  <c r="Q246" i="1"/>
  <c r="R246" i="1" s="1" a="1"/>
  <c r="R246" i="1" s="1"/>
  <c r="Q952" i="1"/>
  <c r="R952" i="1" s="1" a="1"/>
  <c r="R952" i="1" s="1"/>
  <c r="Q913" i="1"/>
  <c r="R913" i="1" s="1" a="1"/>
  <c r="R913" i="1" s="1"/>
  <c r="Q363" i="1"/>
  <c r="R363" i="1" s="1" a="1"/>
  <c r="R363" i="1" s="1"/>
  <c r="Q767" i="1"/>
  <c r="R767" i="1" s="1" a="1"/>
  <c r="R767" i="1" s="1"/>
  <c r="Q627" i="1"/>
  <c r="R627" i="1" s="1" a="1"/>
  <c r="R627" i="1" s="1"/>
  <c r="Q754" i="1"/>
  <c r="R754" i="1" s="1" a="1"/>
  <c r="R754" i="1" s="1"/>
  <c r="Q72" i="1"/>
  <c r="R72" i="1" s="1" a="1"/>
  <c r="R72" i="1" s="1"/>
  <c r="Q284" i="1"/>
  <c r="R284" i="1" s="1" a="1"/>
  <c r="R284" i="1" s="1"/>
  <c r="Q911" i="1"/>
  <c r="R911" i="1" s="1" a="1"/>
  <c r="R911" i="1" s="1"/>
  <c r="Q139" i="1"/>
  <c r="R139" i="1" s="1" a="1"/>
  <c r="R139" i="1" s="1"/>
  <c r="Q373" i="1"/>
  <c r="R373" i="1" s="1" a="1"/>
  <c r="R373" i="1" s="1"/>
  <c r="Q336" i="1"/>
  <c r="R336" i="1" s="1" a="1"/>
  <c r="R336" i="1" s="1"/>
  <c r="Q273" i="1"/>
  <c r="R273" i="1" s="1" a="1"/>
  <c r="R273" i="1" s="1"/>
  <c r="Q525" i="1"/>
  <c r="R525" i="1" s="1" a="1"/>
  <c r="R525" i="1" s="1"/>
  <c r="Q615" i="1"/>
  <c r="R615" i="1" s="1" a="1"/>
  <c r="R615" i="1" s="1"/>
  <c r="Q789" i="1"/>
  <c r="R789" i="1" s="1" a="1"/>
  <c r="R789" i="1" s="1"/>
  <c r="Q958" i="1"/>
  <c r="R958" i="1" s="1" a="1"/>
  <c r="R958" i="1" s="1"/>
  <c r="Q441" i="1"/>
  <c r="R441" i="1" s="1" a="1"/>
  <c r="R441" i="1" s="1"/>
  <c r="Q2" i="1"/>
  <c r="R2" i="1" s="1" a="1"/>
  <c r="R2" i="1" s="1"/>
  <c r="Q676" i="1"/>
  <c r="R676" i="1" s="1" a="1"/>
  <c r="R676" i="1" s="1"/>
  <c r="Q675" i="1"/>
  <c r="R675" i="1" s="1" a="1"/>
  <c r="R675" i="1" s="1"/>
  <c r="Q405" i="1"/>
  <c r="R405" i="1" s="1" a="1"/>
  <c r="R405" i="1" s="1"/>
  <c r="Q963" i="1"/>
  <c r="R963" i="1" s="1" a="1"/>
  <c r="R963" i="1" s="1"/>
  <c r="Q766" i="1"/>
  <c r="R766" i="1" s="1" a="1"/>
  <c r="R766" i="1" s="1"/>
  <c r="Q514" i="1"/>
  <c r="R514" i="1" s="1" a="1"/>
  <c r="R514" i="1" s="1"/>
  <c r="Q426" i="1"/>
  <c r="R426" i="1" s="1" a="1"/>
  <c r="R426" i="1" s="1"/>
  <c r="Q775" i="1"/>
  <c r="R775" i="1" s="1" a="1"/>
  <c r="R775" i="1" s="1"/>
  <c r="W4" i="1" l="1"/>
  <c r="X4" i="1" s="1"/>
  <c r="W3" i="1"/>
  <c r="X3" i="1" s="1"/>
  <c r="Y5" i="1"/>
  <c r="Z5" i="1" s="1"/>
  <c r="Y4" i="1"/>
  <c r="Z4" i="1" s="1"/>
  <c r="Y3" i="1"/>
  <c r="Z3" i="1" s="1"/>
  <c r="W5" i="1"/>
  <c r="X5" i="1" s="1"/>
  <c r="AG8" i="1"/>
  <c r="Y2" i="1" s="1"/>
  <c r="Z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<sst xmlns="http://schemas.openxmlformats.org/spreadsheetml/2006/main" count="8095" uniqueCount="90">
  <si>
    <t>ID_Transacao</t>
  </si>
  <si>
    <t>Data_Transacao</t>
  </si>
  <si>
    <t>Departamento</t>
  </si>
  <si>
    <t>Produto</t>
  </si>
  <si>
    <t>Categoria</t>
  </si>
  <si>
    <t>Cliente_ID</t>
  </si>
  <si>
    <t>Segmento_Cliente</t>
  </si>
  <si>
    <t>Regiao</t>
  </si>
  <si>
    <t>Quantidade</t>
  </si>
  <si>
    <t>Preco_Unitario</t>
  </si>
  <si>
    <t>Receita</t>
  </si>
  <si>
    <t>Custo</t>
  </si>
  <si>
    <t>Lucro</t>
  </si>
  <si>
    <t>Status_Pagamento</t>
  </si>
  <si>
    <t>Canal_Venda</t>
  </si>
  <si>
    <t>Responsavel</t>
  </si>
  <si>
    <t>Operações</t>
  </si>
  <si>
    <t>Produto A</t>
  </si>
  <si>
    <t>Tecnologia</t>
  </si>
  <si>
    <t>Pequena Empresa</t>
  </si>
  <si>
    <t>Norte</t>
  </si>
  <si>
    <t>Atrasado</t>
  </si>
  <si>
    <t>Presencial</t>
  </si>
  <si>
    <t>Diego</t>
  </si>
  <si>
    <t>Marketing</t>
  </si>
  <si>
    <t>Consultoria</t>
  </si>
  <si>
    <t>Média Empresa</t>
  </si>
  <si>
    <t>Centro-Oeste</t>
  </si>
  <si>
    <t>Pago</t>
  </si>
  <si>
    <t>Ana</t>
  </si>
  <si>
    <t>Produto B</t>
  </si>
  <si>
    <t>Sul</t>
  </si>
  <si>
    <t>Pendente</t>
  </si>
  <si>
    <t>Online</t>
  </si>
  <si>
    <t>Financeiro</t>
  </si>
  <si>
    <t>Serviço X</t>
  </si>
  <si>
    <t>Grande Empresa</t>
  </si>
  <si>
    <t>Assinatura</t>
  </si>
  <si>
    <t>Sudeste</t>
  </si>
  <si>
    <t>Telefone</t>
  </si>
  <si>
    <t>Fernanda</t>
  </si>
  <si>
    <t>Serviços</t>
  </si>
  <si>
    <t>Plano Premium</t>
  </si>
  <si>
    <t>Nordeste</t>
  </si>
  <si>
    <t>Bruno</t>
  </si>
  <si>
    <t>Plano Básico</t>
  </si>
  <si>
    <t>Carla</t>
  </si>
  <si>
    <t>Vendas</t>
  </si>
  <si>
    <t xml:space="preserve">
PROJETO – SIMULAÇÃO REAL EMPRESARIAL (ESTÁGIO)
CENÁRIO:
A empresa quer entender sua performance de vendas, situação financeira e perfil de clientes para melhorar decisões estratégicas.
QUESTÃO 1:
Crie colunas auxiliares:
- Margem (%) = Lucro / Receita
- Classificação de Margem:
    SE Margem &gt; 40% → "Alta"
    Entre 20% e 40% → "Média"
    Abaixo de 20% → "Baixa"
QUESTÃO 2:
Calcule:
- Receita total da empresa
- Lucro total
- Ticket médio por transação (MÉDIA)
QUESTÃO 3:
Usando SOMASES:
- Receita por Departamento
- Receita por Região
- Receita apenas de vendas com Status "Pago"
</t>
  </si>
  <si>
    <t>QUESTÃO 4:
Quantas transações estão "Atrasadas"? (CONT.SE)
QUESTÃO 5:
Qual Segmento de Cliente gera maior Receita? (Tabela Dinâmica)
QUESTÃO 6:
Crie ranking de Responsáveis por Receita total.
QUESTÃO 7:
Qual Canal de Venda é mais lucrativo?
QUESTÃO 8:
Crie um Dashboard Executivo contendo:
- Receita Total
- Lucro Total
- % de pagamentos atrasados
- Região mais lucrativa
- Top 3 responsáveis
- Segmento mais lucrativo
QUESTÃO 9:
Escreva 5 insights estratégicos como se fosse apresentar ao gestor.
Objetivo: transformar dados brutos em decisão estratégica.</t>
  </si>
  <si>
    <t>Margem</t>
  </si>
  <si>
    <t>Classificação</t>
  </si>
  <si>
    <t>Receita Total</t>
  </si>
  <si>
    <t>Lucro Total</t>
  </si>
  <si>
    <t>Ticket Médio</t>
  </si>
  <si>
    <t>Departamentos</t>
  </si>
  <si>
    <t>Receita por Departamento</t>
  </si>
  <si>
    <t>Regiões</t>
  </si>
  <si>
    <t>Receita por Região</t>
  </si>
  <si>
    <t>Receita de Vendas Pagas</t>
  </si>
  <si>
    <t>Transações Atrasadas</t>
  </si>
  <si>
    <t>Detalhes Técnicos</t>
  </si>
  <si>
    <t>Responsáveis</t>
  </si>
  <si>
    <t>Suas Receitas</t>
  </si>
  <si>
    <t>Canal de Venda + Lucrativo</t>
  </si>
  <si>
    <t>Seu Lucro</t>
  </si>
  <si>
    <t>Rótulos de Linha</t>
  </si>
  <si>
    <t>Soma de Custo</t>
  </si>
  <si>
    <t>jan</t>
  </si>
  <si>
    <t>fev</t>
  </si>
  <si>
    <t>mar</t>
  </si>
  <si>
    <t>abr</t>
  </si>
  <si>
    <t>mai</t>
  </si>
  <si>
    <t>jun</t>
  </si>
  <si>
    <t>Soma de Receita</t>
  </si>
  <si>
    <t>Soma de Margem Total</t>
  </si>
  <si>
    <t>Fazer um balão de lucro</t>
  </si>
  <si>
    <t>Avaliar o que aconteceu nos pontos baixos de margem</t>
  </si>
  <si>
    <t>Fevereiro e abril (Picos)</t>
  </si>
  <si>
    <t>Maior declínio e maior crescente</t>
  </si>
  <si>
    <t>Soma de Lucro</t>
  </si>
  <si>
    <t>O lucro está ruim na categoria de Serviços nos meses de fevereiro e maio, onde há a baixa margem</t>
  </si>
  <si>
    <t>O lucro está ruim no departamento de Marketing nos meses de fev e maio, onde há baixa margem</t>
  </si>
  <si>
    <t>ANALISAR A RETA DECLINADA E CRESCENTE DE MODO GERAL COM TODOS OS MESES, então analisar abril pra maio</t>
  </si>
  <si>
    <t>Em abril, onde mais cresceu foi em marketing e serviços. Ou seja, o insight é: investir nesses dois!</t>
  </si>
  <si>
    <t>No dashboard: colocar a quantidade de prejuízo desse lucro, numeral e em %; Ver onde estão os maiores e menores lucros; Colocar as informações da outra tabela da base bruta para dar um embasamento maior</t>
  </si>
  <si>
    <t>Média de Margem Total</t>
  </si>
  <si>
    <t>Soma de Quantidade</t>
  </si>
  <si>
    <t>diferença entre lucro MAIOR e MENOR:</t>
  </si>
  <si>
    <t>Feito manualmente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</si>
</sst>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mmmm\,\ yyyy;@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9" fontId="1" fillId="0" borderId="0" xfId="2" applyFont="1"/>
    <xf numFmtId="9" fontId="0" fillId="0" borderId="0" xfId="2" applyFont="1"/>
    <xf numFmtId="1" fontId="1" fillId="0" borderId="0" xfId="0" applyNumberFormat="1" applyFont="1"/>
    <xf numFmtId="1" fontId="0" fillId="0" borderId="0" xfId="0" applyNumberFormat="1"/>
    <xf numFmtId="14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44" fontId="1" fillId="0" borderId="0" xfId="1" applyFont="1"/>
    <xf numFmtId="44" fontId="0" fillId="0" borderId="0" xfId="1" applyFont="1"/>
    <xf numFmtId="44" fontId="4" fillId="0" borderId="0" xfId="1" applyFont="1"/>
    <xf numFmtId="49" fontId="4" fillId="0" borderId="0" xfId="0" applyNumberFormat="1" applyFont="1"/>
    <xf numFmtId="49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44" fontId="0" fillId="0" borderId="0" xfId="0" applyNumberFormat="1"/>
    <xf numFmtId="0" fontId="5" fillId="2" borderId="0" xfId="0" applyFont="1" applyFill="1"/>
    <xf numFmtId="0" fontId="0" fillId="2" borderId="0" xfId="0" applyFill="1"/>
    <xf numFmtId="0" fontId="6" fillId="2" borderId="0" xfId="0" applyFont="1" applyFill="1"/>
  </cellXfs>
  <cellStyles count="3">
    <cellStyle name="Moeda" xfId="1" builtinId="4"/>
    <cellStyle name="Normal" xfId="0" builtinId="0"/>
    <cellStyle name="Porcentagem" xfId="2" builtinId="5"/>
  </cellStyles>
  <dxfs count="46"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34" formatCode="_-&quot;R$&quot;\ * #,##0.00_-;\-&quot;R$&quot;\ * #,##0.00_-;_-&quot;R$&quot;\ * &quot;-&quot;??_-;_-@_-"/>
    </dxf>
    <dxf>
      <font>
        <b/>
        <i val="0"/>
        <sz val="24"/>
      </font>
      <fill>
        <patternFill>
          <bgColor theme="8"/>
        </patternFill>
      </fill>
    </dxf>
  </dxfs>
  <tableStyles count="1" defaultTableStyle="TableStyleMedium9" defaultPivotStyle="PivotStyleLight16">
    <tableStyle name="Estilo de Segmentação de Dados 1" pivot="0" table="0" count="4" xr9:uid="{E8EF07F0-7651-415F-85CC-FA7DAA162319}">
      <tableStyleElement type="wholeTable" dxfId="45"/>
    </tableStyle>
  </tableStyles>
  <extLst>
    <ext xmlns:x14="http://schemas.microsoft.com/office/spreadsheetml/2009/9/main" uri="{46F421CA-312F-682f-3DD2-61675219B42D}">
      <x14:dxfs count="3">
        <dxf>
          <font>
            <b/>
            <i val="0"/>
            <sz val="24"/>
            <color theme="1"/>
          </font>
          <fill>
            <patternFill>
              <bgColor rgb="FFFFC000"/>
            </patternFill>
          </fill>
        </dxf>
        <dxf>
          <font>
            <b/>
            <i val="0"/>
            <sz val="24"/>
            <color theme="1"/>
          </font>
          <fill>
            <patternFill>
              <bgColor rgb="FFFFC000"/>
            </patternFill>
          </fill>
        </dxf>
        <dxf>
          <font>
            <b/>
            <i val="0"/>
            <sz val="22"/>
            <color theme="1"/>
          </font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[Projeto_Estagio_Analise_Dados_Completo.xlsx]Tabela Dinâmica!Tabela dinâmica3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 w="63500" cap="rnd">
            <a:solidFill>
              <a:srgbClr val="00B050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63500" cap="rnd">
            <a:solidFill>
              <a:srgbClr val="FF0000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>
            <c:manualLayout>
              <c:x val="-3.9772428824220808E-2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63500" cap="rnd">
            <a:solidFill>
              <a:srgbClr val="00B050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>
            <c:manualLayout>
              <c:x val="-3.7964591150392656E-2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63500" cap="rnd">
            <a:solidFill>
              <a:srgbClr val="00B050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63500" cap="rnd">
            <a:solidFill>
              <a:srgbClr val="FF0000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>
            <c:manualLayout>
              <c:x val="-3.9772428824220808E-2"/>
              <c:y val="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63500" cap="rnd">
            <a:solidFill>
              <a:srgbClr val="00B050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>
            <c:manualLayout>
              <c:x val="-3.9772428824220808E-2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63500" cap="rnd">
            <a:solidFill>
              <a:srgbClr val="00B050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63500" cap="rnd">
            <a:solidFill>
              <a:srgbClr val="00B050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>
            <c:manualLayout>
              <c:x val="-3.9772428824220808E-2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63500" cap="rnd">
            <a:solidFill>
              <a:srgbClr val="FF0000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>
            <c:manualLayout>
              <c:x val="-3.9772428824220808E-2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63500" cap="rnd">
            <a:solidFill>
              <a:srgbClr val="00B050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>
            <c:manualLayout>
              <c:x val="-3.7964591150392656E-2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63500" cap="rnd">
            <a:solidFill>
              <a:srgbClr val="FF0000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>
            <c:manualLayout>
              <c:x val="-4.7003779519533689E-2"/>
              <c:y val="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127000" cap="rnd">
            <a:solidFill>
              <a:srgbClr val="00B050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127000" cap="rnd">
            <a:solidFill>
              <a:srgbClr val="00B050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>
            <c:manualLayout>
              <c:x val="-5.608367259239723E-2"/>
              <c:y val="-0.12062230380300451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9648021332830572E-2"/>
                  <c:h val="6.6581478070010747E-2"/>
                </c:manualLayout>
              </c15:layout>
            </c:ext>
          </c:extLst>
        </c:dLbl>
      </c:pivotFmt>
      <c:pivotFmt>
        <c:idx val="16"/>
        <c:spPr>
          <a:ln w="127000" cap="rnd">
            <a:solidFill>
              <a:srgbClr val="FF0000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>
            <c:manualLayout>
              <c:x val="-5.6042967888674779E-2"/>
              <c:y val="8.7962875387593481E-2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127000" cap="rnd">
            <a:solidFill>
              <a:srgbClr val="00B050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>
            <c:manualLayout>
              <c:x val="-5.2427292541018342E-2"/>
              <c:y val="-8.3333333333333329E-2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533AEEA-D054-4228-A3F6-E76E56A572F4}" type="VALUE">
                  <a:rPr lang="en-US">
                    <a:solidFill>
                      <a:schemeClr val="bg1"/>
                    </a:solidFill>
                  </a:rPr>
                  <a:pPr>
                    <a:defRPr sz="2000"/>
                  </a:pPr>
                  <a:t>[VALOR]</a:t>
                </a:fld>
                <a:endParaRPr lang="pt-BR"/>
              </a:p>
            </c:rich>
          </c:tx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8"/>
        <c:spPr>
          <a:ln w="127000" cap="rnd">
            <a:solidFill>
              <a:srgbClr val="FF0000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>
            <c:manualLayout>
              <c:x val="-4.7003779519533821E-2"/>
              <c:y val="6.2135630595930219E-2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7805635243553459E-2"/>
          <c:y val="0.34885520695729433"/>
          <c:w val="0.96438872951289312"/>
          <c:h val="0.5437455127219754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'Tabela Dinâmica'!$H$33</c:f>
              <c:strCache>
                <c:ptCount val="1"/>
                <c:pt idx="0">
                  <c:v>Soma de Lucro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'Tabela Dinâmica'!$F$34:$F$39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'Tabela Dinâmica'!$H$34:$H$39</c:f>
              <c:numCache>
                <c:formatCode>General</c:formatCode>
                <c:ptCount val="6"/>
                <c:pt idx="0">
                  <c:v>1734752.9500000004</c:v>
                </c:pt>
                <c:pt idx="1">
                  <c:v>1597658.0700000008</c:v>
                </c:pt>
                <c:pt idx="2">
                  <c:v>2102689.5500000003</c:v>
                </c:pt>
                <c:pt idx="3">
                  <c:v>2057165.01</c:v>
                </c:pt>
                <c:pt idx="4">
                  <c:v>1728637.6600000004</c:v>
                </c:pt>
                <c:pt idx="5">
                  <c:v>2018473.2600000005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D-4151-B962-AEF9EF997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8"/>
        <c:axId val="73558895"/>
        <c:axId val="73559855"/>
      </c:barChart>
      <c:lineChart>
        <c:grouping val="standard"/>
        <c:varyColors val="0"/>
        <c:ser>
          <c:idx val="0"/>
          <c:order val="0"/>
          <c:tx>
            <c:strRef>
              <c:f>'Tabela Dinâmica'!$G$33</c:f>
              <c:strCache>
                <c:ptCount val="1"/>
                <c:pt idx="0">
                  <c:v>Soma de Margem Total</c:v>
                </c:pt>
              </c:strCache>
            </c:strRef>
          </c:tx>
          <c:spPr>
            <a:ln w="127000" cap="rnd">
              <a:solidFill>
                <a:srgbClr val="00B050"/>
              </a:solidFill>
              <a:round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27000" cap="rnd">
                <a:solidFill>
                  <a:srgbClr val="00B050"/>
                </a:solidFill>
                <a:round/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4D-4151-B962-AEF9EF9973A6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127000" cap="rnd">
                <a:solidFill>
                  <a:srgbClr val="FF0000"/>
                </a:solidFill>
                <a:round/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24D-4151-B962-AEF9EF9973A6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127000" cap="rnd">
                <a:solidFill>
                  <a:srgbClr val="00B050"/>
                </a:solidFill>
                <a:round/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24D-4151-B962-AEF9EF9973A6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127000" cap="rnd">
                <a:solidFill>
                  <a:srgbClr val="FF0000"/>
                </a:solidFill>
                <a:round/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24D-4151-B962-AEF9EF9973A6}"/>
              </c:ext>
            </c:extLst>
          </c:dPt>
          <c:dLbls>
            <c:dLbl>
              <c:idx val="0"/>
              <c:layout>
                <c:manualLayout>
                  <c:x val="-5.608367259239723E-2"/>
                  <c:y val="-0.1206223038030045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648021332830572E-2"/>
                      <c:h val="6.658147807001074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24D-4151-B962-AEF9EF9973A6}"/>
                </c:ext>
              </c:extLst>
            </c:dLbl>
            <c:dLbl>
              <c:idx val="1"/>
              <c:layout>
                <c:manualLayout>
                  <c:x val="-5.6042967888674779E-2"/>
                  <c:y val="8.79628753875934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24D-4151-B962-AEF9EF9973A6}"/>
                </c:ext>
              </c:extLst>
            </c:dLbl>
            <c:dLbl>
              <c:idx val="3"/>
              <c:layout>
                <c:manualLayout>
                  <c:x val="-5.2427292541018342E-2"/>
                  <c:y val="-8.3333333333333329E-2"/>
                </c:manualLayout>
              </c:layout>
              <c:tx>
                <c:rich>
                  <a:bodyPr/>
                  <a:lstStyle/>
                  <a:p>
                    <a:fld id="{7533AEEA-D054-4228-A3F6-E76E56A572F4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24D-4151-B962-AEF9EF9973A6}"/>
                </c:ext>
              </c:extLst>
            </c:dLbl>
            <c:dLbl>
              <c:idx val="5"/>
              <c:layout>
                <c:manualLayout>
                  <c:x val="-4.7003779519533821E-2"/>
                  <c:y val="6.2135630595930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4D-4151-B962-AEF9EF9973A6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Dinâmica'!$F$34:$F$39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'Tabela Dinâmica'!$G$34:$G$39</c:f>
              <c:numCache>
                <c:formatCode>0.0%</c:formatCode>
                <c:ptCount val="6"/>
                <c:pt idx="0">
                  <c:v>0.40473095207209775</c:v>
                </c:pt>
                <c:pt idx="1">
                  <c:v>0.39814582582600561</c:v>
                </c:pt>
                <c:pt idx="2">
                  <c:v>0.40896979050575427</c:v>
                </c:pt>
                <c:pt idx="3">
                  <c:v>0.41719411902848819</c:v>
                </c:pt>
                <c:pt idx="4">
                  <c:v>0.41162763440947281</c:v>
                </c:pt>
                <c:pt idx="5">
                  <c:v>0.39970978526676165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24D-4151-B962-AEF9EF997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476831"/>
        <c:axId val="85470591"/>
      </c:lineChart>
      <c:catAx>
        <c:axId val="7355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59855"/>
        <c:crosses val="autoZero"/>
        <c:auto val="1"/>
        <c:lblAlgn val="ctr"/>
        <c:lblOffset val="100"/>
        <c:noMultiLvlLbl val="0"/>
      </c:catAx>
      <c:valAx>
        <c:axId val="73559855"/>
        <c:scaling>
          <c:orientation val="minMax"/>
        </c:scaling>
        <c:delete val="0"/>
        <c:axPos val="l"/>
        <c:numFmt formatCode="&quot;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58895"/>
        <c:crosses val="autoZero"/>
        <c:crossBetween val="between"/>
      </c:valAx>
      <c:valAx>
        <c:axId val="85470591"/>
        <c:scaling>
          <c:orientation val="minMax"/>
        </c:scaling>
        <c:delete val="0"/>
        <c:axPos val="r"/>
        <c:numFmt formatCode="&quot;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476831"/>
        <c:crosses val="max"/>
        <c:crossBetween val="between"/>
      </c:valAx>
      <c:catAx>
        <c:axId val="854768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470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[Projeto_Estagio_Analise_Dados_Completo.xlsx]Tabela Dinâmica!Tabela dinâmica4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6.517466792419528E-3"/>
          <c:y val="0.16666666666666666"/>
          <c:w val="0.9610299344443568"/>
          <c:h val="0.725933945756780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'Tabela Dinâmica'!$B$51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CA-4C0C-A0C9-8E35064B70FF}"/>
              </c:ext>
            </c:extLst>
          </c:dPt>
          <c:cat>
            <c:strRef>
              <c:f>'Tabela Dinâmica'!$A$52:$A$55</c:f>
              <c:strCache>
                <c:ptCount val="4"/>
                <c:pt idx="0">
                  <c:v>Financeiro</c:v>
                </c:pt>
                <c:pt idx="1">
                  <c:v>Marketing</c:v>
                </c:pt>
                <c:pt idx="2">
                  <c:v>Operações</c:v>
                </c:pt>
                <c:pt idx="3">
                  <c:v>Vendas</c:v>
                </c:pt>
              </c:strCache>
            </c:strRef>
          </c:cat>
          <c:val>
            <c:numRef>
              <c:f>'Tabela Dinâmica'!$B$52:$B$55</c:f>
              <c:numCache>
                <c:formatCode>General</c:formatCode>
                <c:ptCount val="4"/>
                <c:pt idx="0">
                  <c:v>498680.48999999993</c:v>
                </c:pt>
                <c:pt idx="1">
                  <c:v>405428.87</c:v>
                </c:pt>
                <c:pt idx="2">
                  <c:v>380650.92000000004</c:v>
                </c:pt>
                <c:pt idx="3">
                  <c:v>449992.67000000004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A-4C0C-A0C9-8E35064B7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87328"/>
        <c:axId val="85183968"/>
      </c:barChart>
      <c:catAx>
        <c:axId val="8518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183968"/>
        <c:crosses val="autoZero"/>
        <c:auto val="1"/>
        <c:lblAlgn val="ctr"/>
        <c:lblOffset val="100"/>
        <c:noMultiLvlLbl val="0"/>
      </c:catAx>
      <c:valAx>
        <c:axId val="851839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518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2800"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[Projeto_Estagio_Analise_Dados_Completo.xlsx]Tabela Dinâmica!Tabela dinâmica2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1.6802812003518418E-2"/>
          <c:y val="0.18518518518518517"/>
          <c:w val="0.95342960104188668"/>
          <c:h val="0.707415427238261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'Tabela Dinâmica'!$B$14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BB-4AC6-9FF1-7778904B0766}"/>
              </c:ext>
            </c:extLst>
          </c:dPt>
          <c:cat>
            <c:strRef>
              <c:f>'Tabela Dinâmica'!$A$15:$A$18</c:f>
              <c:strCache>
                <c:ptCount val="4"/>
                <c:pt idx="0">
                  <c:v>Assinatura</c:v>
                </c:pt>
                <c:pt idx="1">
                  <c:v>Consultoria</c:v>
                </c:pt>
                <c:pt idx="2">
                  <c:v>Serviços</c:v>
                </c:pt>
                <c:pt idx="3">
                  <c:v>Tecnologia</c:v>
                </c:pt>
              </c:strCache>
            </c:strRef>
          </c:cat>
          <c:val>
            <c:numRef>
              <c:f>'Tabela Dinâmica'!$B$15:$B$18</c:f>
              <c:numCache>
                <c:formatCode>General</c:formatCode>
                <c:ptCount val="4"/>
                <c:pt idx="0">
                  <c:v>3027330.6699999995</c:v>
                </c:pt>
                <c:pt idx="1">
                  <c:v>2877259.5699999994</c:v>
                </c:pt>
                <c:pt idx="2">
                  <c:v>2436223.7500000023</c:v>
                </c:pt>
                <c:pt idx="3">
                  <c:v>2898562.5100000007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B-4AC6-9FF1-7778904B0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693407"/>
        <c:axId val="197699647"/>
      </c:barChart>
      <c:catAx>
        <c:axId val="1976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699647"/>
        <c:crosses val="autoZero"/>
        <c:auto val="1"/>
        <c:lblAlgn val="ctr"/>
        <c:lblOffset val="100"/>
        <c:noMultiLvlLbl val="0"/>
      </c:catAx>
      <c:valAx>
        <c:axId val="1976996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69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2400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[Projeto_Estagio_Analise_Dados_Completo.xlsx]Tabela Dinâmica!Tabela dinâmica5</c:name>
    <c:fmtId val="13"/>
  </c:pivotSource>
  <c:chart>
    <c:autoTitleDeleted val="1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6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Text" lastClr="000000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047D893-158B-425D-B695-38D6AB711E4B}" type="CATEGORYNAME">
                  <a:rPr lang="en-US"/>
                  <a:pPr>
                    <a:defRPr sz="2200" b="1">
                      <a:solidFill>
                        <a:schemeClr val="bg1"/>
                      </a:solidFill>
                    </a:defRPr>
                  </a:pPr>
                  <a:t>[NOME DA CATEGORIA]</a:t>
                </a:fld>
                <a:r>
                  <a:rPr lang="en-US" baseline="0"/>
                  <a:t>
</a:t>
                </a:r>
                <a:fld id="{24F1260A-94B8-4C26-8070-D23A0C7AD3E0}" type="PERCENTAGE">
                  <a:rPr lang="en-US" b="0" baseline="0"/>
                  <a:pPr>
                    <a:defRPr sz="2200" b="1">
                      <a:solidFill>
                        <a:schemeClr val="bg1"/>
                      </a:solidFill>
                    </a:defRPr>
                  </a:pPr>
                  <a:t>[PORCENTAGEM]</a:t>
                </a:fld>
                <a:endParaRPr lang="en-US" baseline="0"/>
              </a:p>
            </c:rich>
          </c:tx>
          <c:spPr>
            <a:solidFill>
              <a:sysClr val="windowText" lastClr="000000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A75FAC3B-3787-4CEF-8C95-226241F288F3}" type="CATEGORYNAME">
                  <a:rPr lang="en-US"/>
                  <a:pPr>
                    <a:defRPr sz="2200" b="1">
                      <a:solidFill>
                        <a:schemeClr val="bg1"/>
                      </a:solidFill>
                    </a:defRPr>
                  </a:pPr>
                  <a:t>[NOME DA CATEGORIA]</a:t>
                </a:fld>
                <a:r>
                  <a:rPr lang="en-US" baseline="0"/>
                  <a:t>
</a:t>
                </a:r>
                <a:fld id="{D9549267-0163-4D8E-973B-E1222AB2DB93}" type="PERCENTAGE">
                  <a:rPr lang="en-US" b="0" baseline="0"/>
                  <a:pPr>
                    <a:defRPr sz="2200" b="1">
                      <a:solidFill>
                        <a:schemeClr val="bg1"/>
                      </a:solidFill>
                    </a:defRPr>
                  </a:pPr>
                  <a:t>[PORCENTAGEM]</a:t>
                </a:fld>
                <a:endParaRPr lang="en-US" baseline="0"/>
              </a:p>
            </c:rich>
          </c:tx>
          <c:spPr>
            <a:solidFill>
              <a:sysClr val="windowText" lastClr="000000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9B443ADE-124A-463E-893A-3C36642171FB}" type="CATEGORYNAME">
                  <a:rPr lang="en-US"/>
                  <a:pPr>
                    <a:defRPr sz="2200" b="1">
                      <a:solidFill>
                        <a:schemeClr val="bg1"/>
                      </a:solidFill>
                    </a:defRPr>
                  </a:pPr>
                  <a:t>[NOME DA CATEGORIA]</a:t>
                </a:fld>
                <a:r>
                  <a:rPr lang="en-US" baseline="0"/>
                  <a:t>
</a:t>
                </a:r>
                <a:fld id="{1E713698-CF0A-404F-AA14-151E054214A9}" type="PERCENTAGE">
                  <a:rPr lang="en-US" b="0" baseline="0"/>
                  <a:pPr>
                    <a:defRPr sz="2200" b="1">
                      <a:solidFill>
                        <a:schemeClr val="bg1"/>
                      </a:solidFill>
                    </a:defRPr>
                  </a:pPr>
                  <a:t>[PORCENTAGEM]</a:t>
                </a:fld>
                <a:endParaRPr lang="en-US" baseline="0"/>
              </a:p>
            </c:rich>
          </c:tx>
          <c:spPr>
            <a:solidFill>
              <a:sysClr val="windowText" lastClr="000000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'Tabela Dinâmica'!$G$63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explosion val="3"/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D7-4C7D-8E63-CDF90F9FDAA8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D7-4C7D-8E63-CDF90F9FDAA8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9D7-4C7D-8E63-CDF90F9FDAA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047D893-158B-425D-B695-38D6AB711E4B}" type="CATEGORYNAME">
                      <a:rPr lang="en-US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24F1260A-94B8-4C26-8070-D23A0C7AD3E0}" type="PERCENTAGE">
                      <a:rPr lang="en-US" b="0" baseline="0"/>
                      <a:pPr/>
                      <a:t>[PORCENTAGEM]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9D7-4C7D-8E63-CDF90F9FDAA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75FAC3B-3787-4CEF-8C95-226241F288F3}" type="CATEGORYNAME">
                      <a:rPr lang="en-US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D9549267-0163-4D8E-973B-E1222AB2DB93}" type="PERCENTAGE">
                      <a:rPr lang="en-US" b="0" baseline="0"/>
                      <a:pPr/>
                      <a:t>[PORCENTAGEM]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9D7-4C7D-8E63-CDF90F9FDAA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B443ADE-124A-463E-893A-3C36642171FB}" type="CATEGORYNAME">
                      <a:rPr lang="en-US"/>
                      <a:pPr/>
                      <a:t>[NOME DA CATEGORIA]</a:t>
                    </a:fld>
                    <a:r>
                      <a:rPr lang="en-US" baseline="0"/>
                      <a:t>
</a:t>
                    </a:r>
                    <a:fld id="{1E713698-CF0A-404F-AA14-151E054214A9}" type="PERCENTAGE">
                      <a:rPr lang="en-US" b="0" baseline="0"/>
                      <a:pPr/>
                      <a:t>[PORCENTAGEM]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A9D7-4C7D-8E63-CDF90F9FDAA8}"/>
                </c:ext>
              </c:extLst>
            </c:dLbl>
            <c:spPr>
              <a:solidFill>
                <a:sysClr val="windowText" lastClr="000000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'Tabela Dinâmica'!$F$64:$F$66</c:f>
              <c:strCache>
                <c:ptCount val="3"/>
                <c:pt idx="0">
                  <c:v>Grande Empresa</c:v>
                </c:pt>
                <c:pt idx="1">
                  <c:v>Média Empresa</c:v>
                </c:pt>
                <c:pt idx="2">
                  <c:v>Pequena Empresa</c:v>
                </c:pt>
              </c:strCache>
            </c:strRef>
          </c:cat>
          <c:val>
            <c:numRef>
              <c:f>'Tabela Dinâmica'!$G$64:$G$66</c:f>
              <c:numCache>
                <c:formatCode>General</c:formatCode>
                <c:ptCount val="3"/>
                <c:pt idx="0">
                  <c:v>78709.23000000001</c:v>
                </c:pt>
                <c:pt idx="1">
                  <c:v>27417.47</c:v>
                </c:pt>
                <c:pt idx="2">
                  <c:v>13242.42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D7-4C7D-8E63-CDF90F9FD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8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[Projeto_Estagio_Analise_Dados_Completo.xlsx]Tabela Dinâmica!Tabela dinâmica7</c:name>
    <c:fmtId val="20"/>
  </c:pivotSource>
  <c:chart>
    <c:autoTitleDeleted val="0"/>
    <c:pivotFmts>
      <c:pivotFmt>
        <c:idx val="0"/>
        <c:spPr>
          <a:solidFill>
            <a:schemeClr val="dk1">
              <a:tint val="88500"/>
            </a:schemeClr>
          </a:solidFill>
          <a:ln w="50800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 w="50800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50800" dist="38100" dir="2700000" algn="tl" rotWithShape="0">
              <a:schemeClr val="tx1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127000" cap="rnd">
            <a:solidFill>
              <a:srgbClr val="00B050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35870516185477E-2"/>
          <c:y val="0.13495371354284877"/>
          <c:w val="0.94528258967629042"/>
          <c:h val="0.6954789804227894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'Tabela Dinâmica'!$C$24</c:f>
              <c:strCache>
                <c:ptCount val="1"/>
                <c:pt idx="0">
                  <c:v>Soma de Receita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>
              <a:outerShdw blurRad="50800" dist="38100" dir="2700000" algn="tl" rotWithShape="0">
                <a:schemeClr val="tx1"/>
              </a:outerShdw>
            </a:effectLst>
          </c:spPr>
          <c:invertIfNegative val="0"/>
          <c:cat>
            <c:strRef>
              <c:f>'Tabela Dinâmica'!$A$25:$A$29</c:f>
              <c:strCache>
                <c:ptCount val="5"/>
                <c:pt idx="0">
                  <c:v>Plano Básico</c:v>
                </c:pt>
                <c:pt idx="1">
                  <c:v>Plano Premium</c:v>
                </c:pt>
                <c:pt idx="2">
                  <c:v>Produto A</c:v>
                </c:pt>
                <c:pt idx="3">
                  <c:v>Produto B</c:v>
                </c:pt>
                <c:pt idx="4">
                  <c:v>Serviço X</c:v>
                </c:pt>
              </c:strCache>
            </c:strRef>
          </c:cat>
          <c:val>
            <c:numRef>
              <c:f>'Tabela Dinâmica'!$C$25:$C$29</c:f>
              <c:numCache>
                <c:formatCode>General</c:formatCode>
                <c:ptCount val="5"/>
                <c:pt idx="0">
                  <c:v>30159</c:v>
                </c:pt>
                <c:pt idx="1">
                  <c:v>4117</c:v>
                </c:pt>
                <c:pt idx="2">
                  <c:v>160574</c:v>
                </c:pt>
                <c:pt idx="3">
                  <c:v>70614</c:v>
                </c:pt>
                <c:pt idx="4">
                  <c:v>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B-4FD4-8D63-B894950BA943}"/>
            </c:ext>
          </c:extLst>
        </c:ser>
        <c:ser>
          <c:idx val="2"/>
          <c:order val="2"/>
          <c:tx>
            <c:strRef>
              <c:f>'Tabela Dinâmica'!$D$24</c:f>
              <c:strCache>
                <c:ptCount val="1"/>
                <c:pt idx="0">
                  <c:v>Soma de Custo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'Tabela Dinâmica'!$A$25:$A$29</c:f>
              <c:strCache>
                <c:ptCount val="5"/>
                <c:pt idx="0">
                  <c:v>Plano Básico</c:v>
                </c:pt>
                <c:pt idx="1">
                  <c:v>Plano Premium</c:v>
                </c:pt>
                <c:pt idx="2">
                  <c:v>Produto A</c:v>
                </c:pt>
                <c:pt idx="3">
                  <c:v>Produto B</c:v>
                </c:pt>
                <c:pt idx="4">
                  <c:v>Serviço X</c:v>
                </c:pt>
              </c:strCache>
            </c:strRef>
          </c:cat>
          <c:val>
            <c:numRef>
              <c:f>'Tabela Dinâmica'!$D$25:$D$29</c:f>
              <c:numCache>
                <c:formatCode>General</c:formatCode>
                <c:ptCount val="5"/>
                <c:pt idx="0">
                  <c:v>17619.88</c:v>
                </c:pt>
                <c:pt idx="1">
                  <c:v>2450.66</c:v>
                </c:pt>
                <c:pt idx="2">
                  <c:v>83429.72</c:v>
                </c:pt>
                <c:pt idx="3">
                  <c:v>44577.11</c:v>
                </c:pt>
                <c:pt idx="4">
                  <c:v>5917.51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9B-4FD4-8D63-B894950BA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55397312"/>
        <c:axId val="755392512"/>
      </c:barChart>
      <c:lineChart>
        <c:grouping val="standard"/>
        <c:varyColors val="0"/>
        <c:ser>
          <c:idx val="0"/>
          <c:order val="0"/>
          <c:tx>
            <c:strRef>
              <c:f>'Tabela Dinâmica'!$B$24</c:f>
              <c:strCache>
                <c:ptCount val="1"/>
                <c:pt idx="0">
                  <c:v>Soma de Lucro</c:v>
                </c:pt>
              </c:strCache>
            </c:strRef>
          </c:tx>
          <c:spPr>
            <a:ln w="127000" cap="rnd">
              <a:solidFill>
                <a:srgbClr val="00B050"/>
              </a:solidFill>
              <a:round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Dinâmica'!$A$25:$A$29</c:f>
              <c:strCache>
                <c:ptCount val="5"/>
                <c:pt idx="0">
                  <c:v>Plano Básico</c:v>
                </c:pt>
                <c:pt idx="1">
                  <c:v>Plano Premium</c:v>
                </c:pt>
                <c:pt idx="2">
                  <c:v>Produto A</c:v>
                </c:pt>
                <c:pt idx="3">
                  <c:v>Produto B</c:v>
                </c:pt>
                <c:pt idx="4">
                  <c:v>Serviço X</c:v>
                </c:pt>
              </c:strCache>
            </c:strRef>
          </c:cat>
          <c:val>
            <c:numRef>
              <c:f>'Tabela Dinâmica'!$B$25:$B$29</c:f>
              <c:numCache>
                <c:formatCode>_("R$"* #,##0.00_);_("R$"* \(#,##0.00\);_("R$"* "-"??_);_(@_)</c:formatCode>
                <c:ptCount val="5"/>
                <c:pt idx="0">
                  <c:v>12539.12</c:v>
                </c:pt>
                <c:pt idx="1">
                  <c:v>1666.34</c:v>
                </c:pt>
                <c:pt idx="2">
                  <c:v>77144.28</c:v>
                </c:pt>
                <c:pt idx="3">
                  <c:v>26036.89</c:v>
                </c:pt>
                <c:pt idx="4">
                  <c:v>1982.49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89B-4FD4-8D63-B894950BA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5396832"/>
        <c:axId val="755396352"/>
      </c:lineChart>
      <c:catAx>
        <c:axId val="75539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5392512"/>
        <c:crosses val="autoZero"/>
        <c:auto val="1"/>
        <c:lblAlgn val="ctr"/>
        <c:lblOffset val="100"/>
        <c:noMultiLvlLbl val="0"/>
      </c:catAx>
      <c:valAx>
        <c:axId val="755392512"/>
        <c:scaling>
          <c:orientation val="minMax"/>
        </c:scaling>
        <c:delete val="0"/>
        <c:axPos val="l"/>
        <c:numFmt formatCode="&quot;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5397312"/>
        <c:crosses val="autoZero"/>
        <c:crossBetween val="between"/>
      </c:valAx>
      <c:valAx>
        <c:axId val="755396352"/>
        <c:scaling>
          <c:orientation val="minMax"/>
        </c:scaling>
        <c:delete val="0"/>
        <c:axPos val="r"/>
        <c:numFmt formatCode="&quot;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5396832"/>
        <c:crosses val="max"/>
        <c:crossBetween val="between"/>
      </c:valAx>
      <c:catAx>
        <c:axId val="755396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5396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2000"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[Projeto_Estagio_Analise_Dados_Completo.xlsx]Tabela Dinâmica!Tabela dinâmica1</c:name>
    <c:fmtId val="4"/>
  </c:pivotSource>
  <c:chart>
    <c:autoTitleDeleted val="0"/>
    <c:pivotFmts>
      <c:pivotFmt>
        <c:idx val="0"/>
        <c:spPr>
          <a:solidFill>
            <a:schemeClr val="bg1">
              <a:lumMod val="65000"/>
            </a:schemeClr>
          </a:solidFill>
          <a:ln w="384175">
            <a:solidFill>
              <a:schemeClr val="accent3">
                <a:alpha val="0"/>
              </a:schemeClr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50000"/>
              <a:lumOff val="50000"/>
            </a:schemeClr>
          </a:solidFill>
          <a:ln w="381000">
            <a:solidFill>
              <a:schemeClr val="accent3">
                <a:alpha val="0"/>
              </a:schemeClr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41275" cap="rnd">
            <a:solidFill>
              <a:schemeClr val="accent1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>
              <a:lumMod val="50000"/>
              <a:lumOff val="50000"/>
            </a:schemeClr>
          </a:solidFill>
          <a:ln w="381000">
            <a:solidFill>
              <a:schemeClr val="accent3">
                <a:alpha val="0"/>
              </a:schemeClr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</c:pivotFmt>
      <c:pivotFmt>
        <c:idx val="4"/>
        <c:spPr>
          <a:ln w="41275" cap="rnd">
            <a:solidFill>
              <a:schemeClr val="accent1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41275" cap="rnd">
            <a:solidFill>
              <a:schemeClr val="accent1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9883064361017087E-2"/>
          <c:y val="0.12962962962962962"/>
          <c:w val="0.96023387127796578"/>
          <c:h val="0.76297098279381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'Tabela Dinâmica'!$B$3</c:f>
              <c:strCache>
                <c:ptCount val="1"/>
                <c:pt idx="0">
                  <c:v>Soma de Custo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384175">
              <a:solidFill>
                <a:schemeClr val="accent3">
                  <a:alpha val="0"/>
                </a:schemeClr>
              </a:solidFill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'Tabela Dinâmica'!$A$4:$A$9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'Tabela Dinâmica'!$B$4:$B$9</c:f>
              <c:numCache>
                <c:formatCode>General</c:formatCode>
                <c:ptCount val="6"/>
                <c:pt idx="0">
                  <c:v>693495.29</c:v>
                </c:pt>
                <c:pt idx="1">
                  <c:v>830578.16000000015</c:v>
                </c:pt>
                <c:pt idx="2">
                  <c:v>1082762.75</c:v>
                </c:pt>
                <c:pt idx="3">
                  <c:v>986721.5</c:v>
                </c:pt>
                <c:pt idx="4">
                  <c:v>944495.18999999983</c:v>
                </c:pt>
                <c:pt idx="5">
                  <c:v>1108040.74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C-49E4-84D6-4E6DE9773B29}"/>
            </c:ext>
          </c:extLst>
        </c:ser>
        <c:ser>
          <c:idx val="1"/>
          <c:order val="1"/>
          <c:tx>
            <c:strRef>
              <c:f>'Tabela Dinâmica'!$C$3</c:f>
              <c:strCache>
                <c:ptCount val="1"/>
                <c:pt idx="0">
                  <c:v>Soma de Receita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381000">
              <a:solidFill>
                <a:schemeClr val="accent3">
                  <a:alpha val="0"/>
                </a:schemeClr>
              </a:solidFill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A90C-49E4-84D6-4E6DE9773B29}"/>
              </c:ext>
            </c:extLst>
          </c:dPt>
          <c:cat>
            <c:strRef>
              <c:f>'Tabela Dinâmica'!$A$4:$A$9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'Tabela Dinâmica'!$C$4:$C$9</c:f>
              <c:numCache>
                <c:formatCode>General</c:formatCode>
                <c:ptCount val="6"/>
                <c:pt idx="0">
                  <c:v>1207079</c:v>
                </c:pt>
                <c:pt idx="1">
                  <c:v>1417781</c:v>
                </c:pt>
                <c:pt idx="2">
                  <c:v>1817314</c:v>
                </c:pt>
                <c:pt idx="3">
                  <c:v>1736217</c:v>
                </c:pt>
                <c:pt idx="4">
                  <c:v>1615014</c:v>
                </c:pt>
                <c:pt idx="5">
                  <c:v>1872693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C-49E4-84D6-4E6DE9773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1922719"/>
        <c:axId val="1371931839"/>
      </c:barChart>
      <c:lineChart>
        <c:grouping val="standard"/>
        <c:varyColors val="0"/>
        <c:ser>
          <c:idx val="2"/>
          <c:order val="2"/>
          <c:tx>
            <c:strRef>
              <c:f>'Tabela Dinâmica'!$D$3</c:f>
              <c:strCache>
                <c:ptCount val="1"/>
                <c:pt idx="0">
                  <c:v>Soma de Margem Total</c:v>
                </c:pt>
              </c:strCache>
            </c:strRef>
          </c:tx>
          <c:spPr>
            <a:ln w="41275" cap="rnd">
              <a:solidFill>
                <a:schemeClr val="accent3"/>
              </a:solidFill>
              <a:round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708A-4647-8566-B35D43F42664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708A-4647-8566-B35D43F42664}"/>
              </c:ext>
            </c:extLst>
          </c:dPt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8A-4647-8566-B35D43F42664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8A-4647-8566-B35D43F426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Dinâmica'!$A$4:$A$9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'Tabela Dinâmica'!$D$4:$D$9</c:f>
              <c:numCache>
                <c:formatCode>0.0%</c:formatCode>
                <c:ptCount val="6"/>
                <c:pt idx="0">
                  <c:v>0.42547646840016273</c:v>
                </c:pt>
                <c:pt idx="1">
                  <c:v>0.41417034083543225</c:v>
                </c:pt>
                <c:pt idx="2">
                  <c:v>0.40419611030344776</c:v>
                </c:pt>
                <c:pt idx="3">
                  <c:v>0.43168307878565876</c:v>
                </c:pt>
                <c:pt idx="4">
                  <c:v>0.41517832662750909</c:v>
                </c:pt>
                <c:pt idx="5">
                  <c:v>0.40831693181957729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0C-49E4-84D6-4E6DE9773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857823"/>
        <c:axId val="1376864543"/>
      </c:lineChart>
      <c:catAx>
        <c:axId val="1371922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1931839"/>
        <c:crosses val="autoZero"/>
        <c:auto val="1"/>
        <c:lblAlgn val="ctr"/>
        <c:lblOffset val="100"/>
        <c:noMultiLvlLbl val="0"/>
      </c:catAx>
      <c:valAx>
        <c:axId val="1371931839"/>
        <c:scaling>
          <c:orientation val="minMax"/>
        </c:scaling>
        <c:delete val="0"/>
        <c:axPos val="l"/>
        <c:numFmt formatCode="&quot;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1922719"/>
        <c:crosses val="autoZero"/>
        <c:crossBetween val="between"/>
      </c:valAx>
      <c:valAx>
        <c:axId val="1376864543"/>
        <c:scaling>
          <c:orientation val="minMax"/>
        </c:scaling>
        <c:delete val="0"/>
        <c:axPos val="r"/>
        <c:numFmt formatCode="&quot;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6857823"/>
        <c:crosses val="max"/>
        <c:crossBetween val="between"/>
      </c:valAx>
      <c:catAx>
        <c:axId val="13768578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6864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496102</xdr:colOff>
      <xdr:row>13</xdr:row>
      <xdr:rowOff>81485</xdr:rowOff>
    </xdr:from>
    <xdr:to>
      <xdr:col>36</xdr:col>
      <xdr:colOff>339220</xdr:colOff>
      <xdr:row>16</xdr:row>
      <xdr:rowOff>122465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32C371D1-0620-410E-9EF0-032941E6FBCF}"/>
            </a:ext>
          </a:extLst>
        </xdr:cNvPr>
        <xdr:cNvSpPr/>
      </xdr:nvSpPr>
      <xdr:spPr>
        <a:xfrm>
          <a:off x="7231638" y="3510485"/>
          <a:ext cx="4741689" cy="612480"/>
        </a:xfrm>
        <a:prstGeom prst="roundRect">
          <a:avLst>
            <a:gd name="adj" fmla="val 22481"/>
          </a:avLst>
        </a:prstGeom>
        <a:solidFill>
          <a:schemeClr val="accent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588630</xdr:colOff>
      <xdr:row>19</xdr:row>
      <xdr:rowOff>187620</xdr:rowOff>
    </xdr:from>
    <xdr:to>
      <xdr:col>8</xdr:col>
      <xdr:colOff>431748</xdr:colOff>
      <xdr:row>31</xdr:row>
      <xdr:rowOff>27213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26890A4D-E3E6-4677-9223-5F967F232A00}"/>
            </a:ext>
          </a:extLst>
        </xdr:cNvPr>
        <xdr:cNvSpPr/>
      </xdr:nvSpPr>
      <xdr:spPr>
        <a:xfrm>
          <a:off x="588630" y="3807120"/>
          <a:ext cx="4741689" cy="2125593"/>
        </a:xfrm>
        <a:prstGeom prst="roundRect">
          <a:avLst>
            <a:gd name="adj" fmla="val 22481"/>
          </a:avLst>
        </a:prstGeom>
        <a:solidFill>
          <a:schemeClr val="accent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543206</xdr:colOff>
      <xdr:row>10</xdr:row>
      <xdr:rowOff>89647</xdr:rowOff>
    </xdr:from>
    <xdr:to>
      <xdr:col>18</xdr:col>
      <xdr:colOff>561295</xdr:colOff>
      <xdr:row>15</xdr:row>
      <xdr:rowOff>73958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ABB61B48-E5BF-4670-9708-7B867C9E4BC5}"/>
            </a:ext>
          </a:extLst>
        </xdr:cNvPr>
        <xdr:cNvSpPr/>
      </xdr:nvSpPr>
      <xdr:spPr>
        <a:xfrm>
          <a:off x="6115331" y="1994647"/>
          <a:ext cx="5590214" cy="936811"/>
        </a:xfrm>
        <a:prstGeom prst="roundRect">
          <a:avLst>
            <a:gd name="adj" fmla="val 21452"/>
          </a:avLst>
        </a:prstGeom>
        <a:solidFill>
          <a:schemeClr val="accent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504265</xdr:colOff>
      <xdr:row>9</xdr:row>
      <xdr:rowOff>89649</xdr:rowOff>
    </xdr:from>
    <xdr:to>
      <xdr:col>8</xdr:col>
      <xdr:colOff>347383</xdr:colOff>
      <xdr:row>19</xdr:row>
      <xdr:rowOff>1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C8AD8CE4-25FC-33F3-D3A6-9B3518530BD6}"/>
            </a:ext>
          </a:extLst>
        </xdr:cNvPr>
        <xdr:cNvSpPr/>
      </xdr:nvSpPr>
      <xdr:spPr>
        <a:xfrm>
          <a:off x="504265" y="1804149"/>
          <a:ext cx="4741689" cy="1815352"/>
        </a:xfrm>
        <a:prstGeom prst="roundRect">
          <a:avLst>
            <a:gd name="adj" fmla="val 22481"/>
          </a:avLst>
        </a:prstGeom>
        <a:solidFill>
          <a:schemeClr val="accent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10</xdr:col>
      <xdr:colOff>250731</xdr:colOff>
      <xdr:row>11</xdr:row>
      <xdr:rowOff>91891</xdr:rowOff>
    </xdr:from>
    <xdr:to>
      <xdr:col>18</xdr:col>
      <xdr:colOff>295955</xdr:colOff>
      <xdr:row>15</xdr:row>
      <xdr:rowOff>19189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us_Pagamento">
              <a:extLst>
                <a:ext uri="{FF2B5EF4-FFF2-40B4-BE49-F238E27FC236}">
                  <a16:creationId xmlns:a16="http://schemas.microsoft.com/office/drawing/2014/main" id="{0A0C4A05-E4F5-4E23-9DBC-E40612358A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_Pag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41981" y="2187391"/>
              <a:ext cx="4998224" cy="6892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389484</xdr:colOff>
      <xdr:row>11</xdr:row>
      <xdr:rowOff>151121</xdr:rowOff>
    </xdr:from>
    <xdr:to>
      <xdr:col>8</xdr:col>
      <xdr:colOff>162261</xdr:colOff>
      <xdr:row>18</xdr:row>
      <xdr:rowOff>4294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eses (Data_Transacao)">
              <a:extLst>
                <a:ext uri="{FF2B5EF4-FFF2-40B4-BE49-F238E27FC236}">
                  <a16:creationId xmlns:a16="http://schemas.microsoft.com/office/drawing/2014/main" id="{EC16BDD9-438D-4361-B939-CA209CD08B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_Transacao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8609" y="2246621"/>
              <a:ext cx="4106652" cy="11866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318648</xdr:colOff>
      <xdr:row>21</xdr:row>
      <xdr:rowOff>60514</xdr:rowOff>
    </xdr:from>
    <xdr:to>
      <xdr:col>8</xdr:col>
      <xdr:colOff>40822</xdr:colOff>
      <xdr:row>29</xdr:row>
      <xdr:rowOff>163287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giao">
              <a:extLst>
                <a:ext uri="{FF2B5EF4-FFF2-40B4-BE49-F238E27FC236}">
                  <a16:creationId xmlns:a16="http://schemas.microsoft.com/office/drawing/2014/main" id="{77135170-B5B2-432D-A631-0870BBD06F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a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7773" y="4061014"/>
              <a:ext cx="4056049" cy="16267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238125</xdr:colOff>
      <xdr:row>31</xdr:row>
      <xdr:rowOff>172410</xdr:rowOff>
    </xdr:from>
    <xdr:to>
      <xdr:col>6</xdr:col>
      <xdr:colOff>238125</xdr:colOff>
      <xdr:row>39</xdr:row>
      <xdr:rowOff>20010</xdr:rowOff>
    </xdr:to>
    <xdr:sp macro="" textlink="'Tabela Dinâmica'!B78">
      <xdr:nvSpPr>
        <xdr:cNvPr id="10" name="Retângulo: Cantos Arredondados 9">
          <a:extLst>
            <a:ext uri="{FF2B5EF4-FFF2-40B4-BE49-F238E27FC236}">
              <a16:creationId xmlns:a16="http://schemas.microsoft.com/office/drawing/2014/main" id="{F2C24478-AED8-4115-8780-C2ABCBB9E0FA}"/>
            </a:ext>
          </a:extLst>
        </xdr:cNvPr>
        <xdr:cNvSpPr/>
      </xdr:nvSpPr>
      <xdr:spPr>
        <a:xfrm>
          <a:off x="1476375" y="6077910"/>
          <a:ext cx="2476500" cy="1371600"/>
        </a:xfrm>
        <a:prstGeom prst="roundRect">
          <a:avLst>
            <a:gd name="adj" fmla="val 22481"/>
          </a:avLst>
        </a:prstGeom>
        <a:solidFill>
          <a:schemeClr val="accent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D97746CF-6E71-4E55-AA40-E259BD979802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R$ 119.369,12 </a:t>
          </a:fld>
          <a:endParaRPr lang="pt-BR" sz="2800" b="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375398</xdr:colOff>
      <xdr:row>32</xdr:row>
      <xdr:rowOff>132069</xdr:rowOff>
    </xdr:from>
    <xdr:to>
      <xdr:col>6</xdr:col>
      <xdr:colOff>431426</xdr:colOff>
      <xdr:row>35</xdr:row>
      <xdr:rowOff>42422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FA2D9DA0-59FA-4145-9E86-0BB58AFBCDDB}"/>
            </a:ext>
          </a:extLst>
        </xdr:cNvPr>
        <xdr:cNvSpPr/>
      </xdr:nvSpPr>
      <xdr:spPr>
        <a:xfrm>
          <a:off x="1613648" y="6228069"/>
          <a:ext cx="2532528" cy="481853"/>
        </a:xfrm>
        <a:prstGeom prst="roundRect">
          <a:avLst>
            <a:gd name="adj" fmla="val 22481"/>
          </a:avLst>
        </a:prstGeom>
        <a:noFill/>
        <a:ln>
          <a:noFill/>
        </a:ln>
        <a:effectLst>
          <a:outerShdw blurRad="50800" dist="38100" dir="8100000" algn="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800" b="1">
              <a:solidFill>
                <a:schemeClr val="tx1"/>
              </a:solidFill>
            </a:rPr>
            <a:t>LUCRO TOTAL</a:t>
          </a:r>
        </a:p>
      </xdr:txBody>
    </xdr:sp>
    <xdr:clientData/>
  </xdr:twoCellAnchor>
  <xdr:twoCellAnchor>
    <xdr:from>
      <xdr:col>2</xdr:col>
      <xdr:colOff>345781</xdr:colOff>
      <xdr:row>40</xdr:row>
      <xdr:rowOff>63234</xdr:rowOff>
    </xdr:from>
    <xdr:to>
      <xdr:col>6</xdr:col>
      <xdr:colOff>283028</xdr:colOff>
      <xdr:row>47</xdr:row>
      <xdr:rowOff>101334</xdr:rowOff>
    </xdr:to>
    <xdr:sp macro="" textlink="'Tabela Dinâmica'!E78">
      <xdr:nvSpPr>
        <xdr:cNvPr id="13" name="Retângulo: Cantos Arredondados 12">
          <a:extLst>
            <a:ext uri="{FF2B5EF4-FFF2-40B4-BE49-F238E27FC236}">
              <a16:creationId xmlns:a16="http://schemas.microsoft.com/office/drawing/2014/main" id="{537A4BA8-07A2-4B73-8BAE-0F79155D668E}"/>
            </a:ext>
          </a:extLst>
        </xdr:cNvPr>
        <xdr:cNvSpPr/>
      </xdr:nvSpPr>
      <xdr:spPr>
        <a:xfrm>
          <a:off x="1570424" y="7683234"/>
          <a:ext cx="2386533" cy="1371600"/>
        </a:xfrm>
        <a:prstGeom prst="roundRect">
          <a:avLst>
            <a:gd name="adj" fmla="val 22481"/>
          </a:avLst>
        </a:prstGeom>
        <a:solidFill>
          <a:schemeClr val="accent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68B24769-8C36-4998-A6EC-C1356133A2B7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82</a:t>
          </a:fld>
          <a:endParaRPr lang="pt-BR" sz="28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361470</xdr:colOff>
      <xdr:row>41</xdr:row>
      <xdr:rowOff>22893</xdr:rowOff>
    </xdr:from>
    <xdr:to>
      <xdr:col>6</xdr:col>
      <xdr:colOff>417498</xdr:colOff>
      <xdr:row>43</xdr:row>
      <xdr:rowOff>123746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3E9F0218-7804-4E30-B8C0-17C8C563BEA1}"/>
            </a:ext>
          </a:extLst>
        </xdr:cNvPr>
        <xdr:cNvSpPr/>
      </xdr:nvSpPr>
      <xdr:spPr>
        <a:xfrm>
          <a:off x="1586113" y="7833393"/>
          <a:ext cx="2505314" cy="481853"/>
        </a:xfrm>
        <a:prstGeom prst="roundRect">
          <a:avLst>
            <a:gd name="adj" fmla="val 22481"/>
          </a:avLst>
        </a:prstGeom>
        <a:noFill/>
        <a:ln>
          <a:noFill/>
        </a:ln>
        <a:effectLst>
          <a:outerShdw blurRad="50800" dist="38100" dir="8100000" algn="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500" b="1">
              <a:solidFill>
                <a:schemeClr val="tx1"/>
              </a:solidFill>
            </a:rPr>
            <a:t>VENDAS</a:t>
          </a:r>
          <a:r>
            <a:rPr lang="pt-BR" sz="2500" b="1" baseline="0">
              <a:solidFill>
                <a:schemeClr val="tx1"/>
              </a:solidFill>
            </a:rPr>
            <a:t> TOTAIS</a:t>
          </a:r>
          <a:endParaRPr lang="pt-BR" sz="25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338578</xdr:colOff>
      <xdr:row>48</xdr:row>
      <xdr:rowOff>147277</xdr:rowOff>
    </xdr:from>
    <xdr:to>
      <xdr:col>6</xdr:col>
      <xdr:colOff>275825</xdr:colOff>
      <xdr:row>55</xdr:row>
      <xdr:rowOff>185377</xdr:rowOff>
    </xdr:to>
    <xdr:sp macro="" textlink="'Tabela Dinâmica'!D78">
      <xdr:nvSpPr>
        <xdr:cNvPr id="15" name="Retângulo: Cantos Arredondados 14">
          <a:extLst>
            <a:ext uri="{FF2B5EF4-FFF2-40B4-BE49-F238E27FC236}">
              <a16:creationId xmlns:a16="http://schemas.microsoft.com/office/drawing/2014/main" id="{43E1ACEB-6B5F-4B66-9380-D07431EE7040}"/>
            </a:ext>
          </a:extLst>
        </xdr:cNvPr>
        <xdr:cNvSpPr/>
      </xdr:nvSpPr>
      <xdr:spPr>
        <a:xfrm>
          <a:off x="1563221" y="9291277"/>
          <a:ext cx="2386533" cy="1371600"/>
        </a:xfrm>
        <a:prstGeom prst="roundRect">
          <a:avLst>
            <a:gd name="adj" fmla="val 22481"/>
          </a:avLst>
        </a:prstGeom>
        <a:solidFill>
          <a:schemeClr val="accent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9F9DDDB8-DB6D-48F5-BC85-568FA2FBE151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44%</a:t>
          </a:fld>
          <a:endParaRPr lang="pt-BR" sz="28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354267</xdr:colOff>
      <xdr:row>49</xdr:row>
      <xdr:rowOff>140554</xdr:rowOff>
    </xdr:from>
    <xdr:to>
      <xdr:col>6</xdr:col>
      <xdr:colOff>410295</xdr:colOff>
      <xdr:row>52</xdr:row>
      <xdr:rowOff>50907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6065B76E-E8CE-4960-A00C-51D17865FE6D}"/>
            </a:ext>
          </a:extLst>
        </xdr:cNvPr>
        <xdr:cNvSpPr/>
      </xdr:nvSpPr>
      <xdr:spPr>
        <a:xfrm>
          <a:off x="1578910" y="9475054"/>
          <a:ext cx="2505314" cy="481853"/>
        </a:xfrm>
        <a:prstGeom prst="roundRect">
          <a:avLst>
            <a:gd name="adj" fmla="val 22481"/>
          </a:avLst>
        </a:prstGeom>
        <a:noFill/>
        <a:ln>
          <a:noFill/>
        </a:ln>
        <a:effectLst>
          <a:outerShdw blurRad="50800" dist="38100" dir="8100000" algn="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300" b="1">
              <a:solidFill>
                <a:schemeClr val="tx1"/>
              </a:solidFill>
            </a:rPr>
            <a:t>MARGEM MÉDIA</a:t>
          </a:r>
        </a:p>
      </xdr:txBody>
    </xdr:sp>
    <xdr:clientData/>
  </xdr:twoCellAnchor>
  <xdr:twoCellAnchor>
    <xdr:from>
      <xdr:col>26</xdr:col>
      <xdr:colOff>214312</xdr:colOff>
      <xdr:row>11</xdr:row>
      <xdr:rowOff>68035</xdr:rowOff>
    </xdr:from>
    <xdr:to>
      <xdr:col>39</xdr:col>
      <xdr:colOff>142875</xdr:colOff>
      <xdr:row>39</xdr:row>
      <xdr:rowOff>166687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1C66610-1ED6-4C41-B0CA-25D5B0E8B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578303</xdr:colOff>
      <xdr:row>13</xdr:row>
      <xdr:rowOff>95251</xdr:rowOff>
    </xdr:from>
    <xdr:to>
      <xdr:col>36</xdr:col>
      <xdr:colOff>554182</xdr:colOff>
      <xdr:row>16</xdr:row>
      <xdr:rowOff>71437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C298EDED-C979-4E5C-BE98-4CF0B05B9A18}"/>
            </a:ext>
          </a:extLst>
        </xdr:cNvPr>
        <xdr:cNvSpPr/>
      </xdr:nvSpPr>
      <xdr:spPr>
        <a:xfrm>
          <a:off x="17550121" y="2571751"/>
          <a:ext cx="4824970" cy="547686"/>
        </a:xfrm>
        <a:prstGeom prst="roundRect">
          <a:avLst>
            <a:gd name="adj" fmla="val 22481"/>
          </a:avLst>
        </a:prstGeom>
        <a:noFill/>
        <a:ln>
          <a:noFill/>
        </a:ln>
        <a:effectLst>
          <a:outerShdw blurRad="50800" dist="38100" dir="8100000" algn="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800" b="1">
              <a:solidFill>
                <a:schemeClr val="tx1"/>
              </a:solidFill>
            </a:rPr>
            <a:t>LUCRO POR MÊS</a:t>
          </a:r>
          <a:r>
            <a:rPr lang="pt-BR" sz="2800" b="1" baseline="0">
              <a:solidFill>
                <a:schemeClr val="tx1"/>
              </a:solidFill>
            </a:rPr>
            <a:t> </a:t>
          </a:r>
          <a:r>
            <a:rPr lang="pt-BR" sz="2800" b="1">
              <a:solidFill>
                <a:schemeClr val="tx1"/>
              </a:solidFill>
            </a:rPr>
            <a:t>VS MARGEM</a:t>
          </a:r>
        </a:p>
      </xdr:txBody>
    </xdr:sp>
    <xdr:clientData/>
  </xdr:twoCellAnchor>
  <xdr:twoCellAnchor>
    <xdr:from>
      <xdr:col>41</xdr:col>
      <xdr:colOff>340179</xdr:colOff>
      <xdr:row>14</xdr:row>
      <xdr:rowOff>166687</xdr:rowOff>
    </xdr:from>
    <xdr:to>
      <xdr:col>49</xdr:col>
      <xdr:colOff>33060</xdr:colOff>
      <xdr:row>32</xdr:row>
      <xdr:rowOff>85044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A8133EE3-1E5B-4D5E-9906-30DC1E131974}"/>
            </a:ext>
          </a:extLst>
        </xdr:cNvPr>
        <xdr:cNvSpPr/>
      </xdr:nvSpPr>
      <xdr:spPr>
        <a:xfrm>
          <a:off x="25105179" y="3214687"/>
          <a:ext cx="4645881" cy="3347357"/>
        </a:xfrm>
        <a:prstGeom prst="roundRect">
          <a:avLst>
            <a:gd name="adj" fmla="val 22481"/>
          </a:avLst>
        </a:prstGeom>
        <a:solidFill>
          <a:schemeClr val="accent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41</xdr:col>
      <xdr:colOff>510479</xdr:colOff>
      <xdr:row>24</xdr:row>
      <xdr:rowOff>83765</xdr:rowOff>
    </xdr:from>
    <xdr:to>
      <xdr:col>45</xdr:col>
      <xdr:colOff>78551</xdr:colOff>
      <xdr:row>30</xdr:row>
      <xdr:rowOff>112260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4C37CE44-40D5-47D4-B169-541A84A57BEA}"/>
            </a:ext>
          </a:extLst>
        </xdr:cNvPr>
        <xdr:cNvSpPr/>
      </xdr:nvSpPr>
      <xdr:spPr>
        <a:xfrm>
          <a:off x="25275479" y="5036765"/>
          <a:ext cx="2044572" cy="1171495"/>
        </a:xfrm>
        <a:prstGeom prst="roundRect">
          <a:avLst>
            <a:gd name="adj" fmla="val 22481"/>
          </a:avLst>
        </a:prstGeom>
        <a:noFill/>
        <a:ln>
          <a:noFill/>
        </a:ln>
        <a:effectLst>
          <a:outerShdw blurRad="50800" dist="38100" dir="8100000" algn="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800" b="1">
              <a:solidFill>
                <a:schemeClr val="tx1"/>
              </a:solidFill>
            </a:rPr>
            <a:t>Fevereiro</a:t>
          </a:r>
          <a:r>
            <a:rPr lang="pt-BR" sz="2800" b="1" baseline="0">
              <a:solidFill>
                <a:schemeClr val="tx1"/>
              </a:solidFill>
            </a:rPr>
            <a:t> </a:t>
          </a:r>
        </a:p>
        <a:p>
          <a:pPr algn="l"/>
          <a:r>
            <a:rPr lang="pt-BR" sz="2800" b="1">
              <a:solidFill>
                <a:schemeClr val="tx1"/>
              </a:solidFill>
            </a:rPr>
            <a:t>Maio</a:t>
          </a:r>
          <a:r>
            <a:rPr lang="pt-BR" sz="2800" b="1" baseline="0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44</xdr:col>
      <xdr:colOff>394607</xdr:colOff>
      <xdr:row>16</xdr:row>
      <xdr:rowOff>166686</xdr:rowOff>
    </xdr:from>
    <xdr:to>
      <xdr:col>46</xdr:col>
      <xdr:colOff>312964</xdr:colOff>
      <xdr:row>22</xdr:row>
      <xdr:rowOff>3401</xdr:rowOff>
    </xdr:to>
    <xdr:sp macro="" textlink="">
      <xdr:nvSpPr>
        <xdr:cNvPr id="23" name="Triângulo isósceles 22">
          <a:extLst>
            <a:ext uri="{FF2B5EF4-FFF2-40B4-BE49-F238E27FC236}">
              <a16:creationId xmlns:a16="http://schemas.microsoft.com/office/drawing/2014/main" id="{BA76C965-92EC-1A2D-C996-771A314A7F37}"/>
            </a:ext>
          </a:extLst>
        </xdr:cNvPr>
        <xdr:cNvSpPr/>
      </xdr:nvSpPr>
      <xdr:spPr>
        <a:xfrm>
          <a:off x="27016982" y="3595686"/>
          <a:ext cx="1156607" cy="979715"/>
        </a:xfrm>
        <a:prstGeom prst="triangle">
          <a:avLst/>
        </a:prstGeom>
        <a:solidFill>
          <a:srgbClr val="00B05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44</xdr:col>
      <xdr:colOff>420831</xdr:colOff>
      <xdr:row>25</xdr:row>
      <xdr:rowOff>33336</xdr:rowOff>
    </xdr:from>
    <xdr:to>
      <xdr:col>46</xdr:col>
      <xdr:colOff>339188</xdr:colOff>
      <xdr:row>30</xdr:row>
      <xdr:rowOff>60551</xdr:rowOff>
    </xdr:to>
    <xdr:sp macro="" textlink="">
      <xdr:nvSpPr>
        <xdr:cNvPr id="25" name="Triângulo isósceles 24">
          <a:extLst>
            <a:ext uri="{FF2B5EF4-FFF2-40B4-BE49-F238E27FC236}">
              <a16:creationId xmlns:a16="http://schemas.microsoft.com/office/drawing/2014/main" id="{033F10ED-AA2E-4584-982B-04C837D1C51D}"/>
            </a:ext>
          </a:extLst>
        </xdr:cNvPr>
        <xdr:cNvSpPr/>
      </xdr:nvSpPr>
      <xdr:spPr>
        <a:xfrm rot="10800000">
          <a:off x="27043206" y="5176836"/>
          <a:ext cx="1156607" cy="979715"/>
        </a:xfrm>
        <a:prstGeom prst="triangle">
          <a:avLst/>
        </a:prstGeom>
        <a:solidFill>
          <a:srgbClr val="FF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340017</xdr:colOff>
      <xdr:row>18</xdr:row>
      <xdr:rowOff>18450</xdr:rowOff>
    </xdr:from>
    <xdr:to>
      <xdr:col>49</xdr:col>
      <xdr:colOff>533400</xdr:colOff>
      <xdr:row>22</xdr:row>
      <xdr:rowOff>98651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B032591E-6FBC-411F-8B41-B966E5BEAD52}"/>
            </a:ext>
          </a:extLst>
        </xdr:cNvPr>
        <xdr:cNvSpPr/>
      </xdr:nvSpPr>
      <xdr:spPr>
        <a:xfrm>
          <a:off x="28200642" y="3828450"/>
          <a:ext cx="2050758" cy="842201"/>
        </a:xfrm>
        <a:prstGeom prst="roundRect">
          <a:avLst>
            <a:gd name="adj" fmla="val 22481"/>
          </a:avLst>
        </a:prstGeom>
        <a:noFill/>
        <a:ln>
          <a:noFill/>
        </a:ln>
        <a:effectLst>
          <a:outerShdw blurRad="50800" dist="38100" dir="8100000" algn="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800" b="1">
              <a:solidFill>
                <a:schemeClr val="tx1"/>
              </a:solidFill>
            </a:rPr>
            <a:t>Máximo</a:t>
          </a:r>
          <a:endParaRPr lang="pt-BR" sz="2800" b="1" baseline="0">
            <a:solidFill>
              <a:schemeClr val="tx1"/>
            </a:solidFill>
          </a:endParaRPr>
        </a:p>
        <a:p>
          <a:pPr algn="l"/>
          <a:endParaRPr lang="pt-BR" sz="28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46</xdr:col>
      <xdr:colOff>202956</xdr:colOff>
      <xdr:row>23</xdr:row>
      <xdr:rowOff>130029</xdr:rowOff>
    </xdr:from>
    <xdr:to>
      <xdr:col>49</xdr:col>
      <xdr:colOff>396339</xdr:colOff>
      <xdr:row>30</xdr:row>
      <xdr:rowOff>153081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941924A6-3325-4561-B63F-E2C95C419363}"/>
            </a:ext>
          </a:extLst>
        </xdr:cNvPr>
        <xdr:cNvSpPr/>
      </xdr:nvSpPr>
      <xdr:spPr>
        <a:xfrm>
          <a:off x="28063581" y="4892529"/>
          <a:ext cx="2050758" cy="1356552"/>
        </a:xfrm>
        <a:prstGeom prst="roundRect">
          <a:avLst>
            <a:gd name="adj" fmla="val 22481"/>
          </a:avLst>
        </a:prstGeom>
        <a:noFill/>
        <a:ln>
          <a:noFill/>
        </a:ln>
        <a:effectLst>
          <a:outerShdw blurRad="50800" dist="38100" dir="8100000" algn="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2800" b="1" baseline="0">
            <a:solidFill>
              <a:schemeClr val="tx1"/>
            </a:solidFill>
          </a:endParaRPr>
        </a:p>
        <a:p>
          <a:pPr algn="l"/>
          <a:r>
            <a:rPr lang="pt-BR" sz="2800" b="1" baseline="0">
              <a:solidFill>
                <a:schemeClr val="tx1"/>
              </a:solidFill>
            </a:rPr>
            <a:t>Mínimo</a:t>
          </a:r>
        </a:p>
      </xdr:txBody>
    </xdr:sp>
    <xdr:clientData/>
  </xdr:twoCellAnchor>
  <xdr:twoCellAnchor>
    <xdr:from>
      <xdr:col>41</xdr:col>
      <xdr:colOff>514190</xdr:colOff>
      <xdr:row>16</xdr:row>
      <xdr:rowOff>151801</xdr:rowOff>
    </xdr:from>
    <xdr:to>
      <xdr:col>45</xdr:col>
      <xdr:colOff>95251</xdr:colOff>
      <xdr:row>23</xdr:row>
      <xdr:rowOff>85045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3039DAA1-DD7A-428C-8E9D-2B22E81BE542}"/>
            </a:ext>
          </a:extLst>
        </xdr:cNvPr>
        <xdr:cNvSpPr/>
      </xdr:nvSpPr>
      <xdr:spPr>
        <a:xfrm>
          <a:off x="25279190" y="3580801"/>
          <a:ext cx="2057561" cy="1266744"/>
        </a:xfrm>
        <a:prstGeom prst="roundRect">
          <a:avLst>
            <a:gd name="adj" fmla="val 22481"/>
          </a:avLst>
        </a:prstGeom>
        <a:noFill/>
        <a:ln>
          <a:noFill/>
        </a:ln>
        <a:effectLst>
          <a:outerShdw blurRad="50800" dist="38100" dir="8100000" algn="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800" b="1">
              <a:solidFill>
                <a:schemeClr val="tx1"/>
              </a:solidFill>
            </a:rPr>
            <a:t>Março</a:t>
          </a:r>
        </a:p>
        <a:p>
          <a:pPr algn="l"/>
          <a:r>
            <a:rPr lang="pt-BR" sz="2800" b="1" baseline="0">
              <a:solidFill>
                <a:schemeClr val="tx1"/>
              </a:solidFill>
            </a:rPr>
            <a:t>Abril</a:t>
          </a:r>
        </a:p>
        <a:p>
          <a:pPr algn="l"/>
          <a:endParaRPr lang="pt-BR" sz="28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33647</xdr:colOff>
      <xdr:row>41</xdr:row>
      <xdr:rowOff>80344</xdr:rowOff>
    </xdr:from>
    <xdr:to>
      <xdr:col>38</xdr:col>
      <xdr:colOff>534389</xdr:colOff>
      <xdr:row>46</xdr:row>
      <xdr:rowOff>9587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94040259-B258-4923-98A9-93CF401DB80B}"/>
            </a:ext>
          </a:extLst>
        </xdr:cNvPr>
        <xdr:cNvSpPr/>
      </xdr:nvSpPr>
      <xdr:spPr>
        <a:xfrm>
          <a:off x="15511772" y="7890844"/>
          <a:ext cx="7311117" cy="881743"/>
        </a:xfrm>
        <a:prstGeom prst="roundRect">
          <a:avLst>
            <a:gd name="adj" fmla="val 22481"/>
          </a:avLst>
        </a:prstGeom>
        <a:solidFill>
          <a:schemeClr val="accent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224147</xdr:colOff>
      <xdr:row>42</xdr:row>
      <xdr:rowOff>39525</xdr:rowOff>
    </xdr:from>
    <xdr:to>
      <xdr:col>38</xdr:col>
      <xdr:colOff>467591</xdr:colOff>
      <xdr:row>44</xdr:row>
      <xdr:rowOff>140378</xdr:rowOff>
    </xdr:to>
    <xdr:sp macro="" textlink="">
      <xdr:nvSpPr>
        <xdr:cNvPr id="32" name="Retângulo: Cantos Arredondados 31">
          <a:extLst>
            <a:ext uri="{FF2B5EF4-FFF2-40B4-BE49-F238E27FC236}">
              <a16:creationId xmlns:a16="http://schemas.microsoft.com/office/drawing/2014/main" id="{DA629D7E-3C83-40A1-8D52-825CA5E0D22A}"/>
            </a:ext>
          </a:extLst>
        </xdr:cNvPr>
        <xdr:cNvSpPr/>
      </xdr:nvSpPr>
      <xdr:spPr>
        <a:xfrm>
          <a:off x="15702272" y="8040525"/>
          <a:ext cx="7053819" cy="481853"/>
        </a:xfrm>
        <a:prstGeom prst="roundRect">
          <a:avLst>
            <a:gd name="adj" fmla="val 22481"/>
          </a:avLst>
        </a:prstGeom>
        <a:noFill/>
        <a:ln>
          <a:noFill/>
        </a:ln>
        <a:effectLst>
          <a:outerShdw blurRad="50800" dist="38100" dir="8100000" algn="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800" b="1">
              <a:solidFill>
                <a:schemeClr val="tx1"/>
              </a:solidFill>
            </a:rPr>
            <a:t>O QUE</a:t>
          </a:r>
          <a:r>
            <a:rPr lang="pt-BR" sz="2800" b="1" baseline="0">
              <a:solidFill>
                <a:schemeClr val="tx1"/>
              </a:solidFill>
            </a:rPr>
            <a:t> ACONTECEU EM </a:t>
          </a:r>
          <a:r>
            <a:rPr lang="pt-BR" sz="2800" b="1" baseline="0">
              <a:solidFill>
                <a:srgbClr val="FF0000"/>
              </a:solidFill>
            </a:rPr>
            <a:t>FEVEREIRO</a:t>
          </a:r>
          <a:r>
            <a:rPr lang="pt-BR" sz="2800" b="1" baseline="0">
              <a:solidFill>
                <a:schemeClr val="tx1"/>
              </a:solidFill>
            </a:rPr>
            <a:t> E </a:t>
          </a:r>
          <a:r>
            <a:rPr lang="pt-BR" sz="2800" b="1" baseline="0">
              <a:solidFill>
                <a:srgbClr val="FF0000"/>
              </a:solidFill>
            </a:rPr>
            <a:t>MAIO</a:t>
          </a:r>
          <a:r>
            <a:rPr lang="pt-BR" sz="2800" b="1" baseline="0">
              <a:solidFill>
                <a:schemeClr val="tx1"/>
              </a:solidFill>
            </a:rPr>
            <a:t>?</a:t>
          </a:r>
          <a:endParaRPr lang="pt-BR" sz="28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369997</xdr:colOff>
      <xdr:row>1</xdr:row>
      <xdr:rowOff>20579</xdr:rowOff>
    </xdr:from>
    <xdr:to>
      <xdr:col>47</xdr:col>
      <xdr:colOff>565999</xdr:colOff>
      <xdr:row>7</xdr:row>
      <xdr:rowOff>41068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7E7E03AC-CE16-4D84-A369-398B81640673}"/>
            </a:ext>
          </a:extLst>
        </xdr:cNvPr>
        <xdr:cNvSpPr/>
      </xdr:nvSpPr>
      <xdr:spPr>
        <a:xfrm>
          <a:off x="16467247" y="211079"/>
          <a:ext cx="13197627" cy="1163489"/>
        </a:xfrm>
        <a:prstGeom prst="roundRect">
          <a:avLst>
            <a:gd name="adj" fmla="val 22481"/>
          </a:avLst>
        </a:prstGeom>
        <a:solidFill>
          <a:schemeClr val="accent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483575</xdr:colOff>
      <xdr:row>0</xdr:row>
      <xdr:rowOff>104179</xdr:rowOff>
    </xdr:from>
    <xdr:to>
      <xdr:col>47</xdr:col>
      <xdr:colOff>285752</xdr:colOff>
      <xdr:row>8</xdr:row>
      <xdr:rowOff>23815</xdr:rowOff>
    </xdr:to>
    <xdr:sp macro="" textlink="">
      <xdr:nvSpPr>
        <xdr:cNvPr id="34" name="Retângulo: Cantos Arredondados 33">
          <a:extLst>
            <a:ext uri="{FF2B5EF4-FFF2-40B4-BE49-F238E27FC236}">
              <a16:creationId xmlns:a16="http://schemas.microsoft.com/office/drawing/2014/main" id="{1D41FF59-992B-4C3C-A47F-679D51D54B1C}"/>
            </a:ext>
          </a:extLst>
        </xdr:cNvPr>
        <xdr:cNvSpPr/>
      </xdr:nvSpPr>
      <xdr:spPr>
        <a:xfrm>
          <a:off x="16580825" y="104179"/>
          <a:ext cx="12803802" cy="1443636"/>
        </a:xfrm>
        <a:prstGeom prst="roundRect">
          <a:avLst>
            <a:gd name="adj" fmla="val 22481"/>
          </a:avLst>
        </a:prstGeom>
        <a:noFill/>
        <a:ln>
          <a:noFill/>
        </a:ln>
        <a:effectLst>
          <a:outerShdw blurRad="50800" dist="38100" dir="8100000" algn="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3200" b="1" baseline="0">
              <a:solidFill>
                <a:schemeClr val="tx1"/>
              </a:solidFill>
            </a:rPr>
            <a:t>2) RELATÓRIO E ANÁLISES DE PADRÕES DETECTADOS: INSIGHTS E POSSÍVEIS PROBLEMAS</a:t>
          </a:r>
        </a:p>
        <a:p>
          <a:pPr algn="l"/>
          <a:endParaRPr lang="pt-BR" sz="32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214311</xdr:colOff>
      <xdr:row>52</xdr:row>
      <xdr:rowOff>190498</xdr:rowOff>
    </xdr:from>
    <xdr:to>
      <xdr:col>39</xdr:col>
      <xdr:colOff>404812</xdr:colOff>
      <xdr:row>86</xdr:row>
      <xdr:rowOff>-1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545A09F7-BDAA-4800-9777-C6BA2A67A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166688</xdr:colOff>
      <xdr:row>52</xdr:row>
      <xdr:rowOff>71437</xdr:rowOff>
    </xdr:from>
    <xdr:to>
      <xdr:col>48</xdr:col>
      <xdr:colOff>615943</xdr:colOff>
      <xdr:row>61</xdr:row>
      <xdr:rowOff>172289</xdr:rowOff>
    </xdr:to>
    <xdr:sp macro="" textlink="">
      <xdr:nvSpPr>
        <xdr:cNvPr id="37" name="Retângulo: Cantos Arredondados 36">
          <a:extLst>
            <a:ext uri="{FF2B5EF4-FFF2-40B4-BE49-F238E27FC236}">
              <a16:creationId xmlns:a16="http://schemas.microsoft.com/office/drawing/2014/main" id="{1A0D4FA3-C672-4A07-98B8-754A4038EB87}"/>
            </a:ext>
          </a:extLst>
        </xdr:cNvPr>
        <xdr:cNvSpPr/>
      </xdr:nvSpPr>
      <xdr:spPr>
        <a:xfrm>
          <a:off x="25550813" y="9977437"/>
          <a:ext cx="4783130" cy="1815352"/>
        </a:xfrm>
        <a:prstGeom prst="roundRect">
          <a:avLst>
            <a:gd name="adj" fmla="val 22481"/>
          </a:avLst>
        </a:prstGeom>
        <a:solidFill>
          <a:schemeClr val="accent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41</xdr:col>
      <xdr:colOff>476251</xdr:colOff>
      <xdr:row>54</xdr:row>
      <xdr:rowOff>-1</xdr:rowOff>
    </xdr:from>
    <xdr:to>
      <xdr:col>48</xdr:col>
      <xdr:colOff>430822</xdr:colOff>
      <xdr:row>60</xdr:row>
      <xdr:rowOff>176582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Meses (Data_Transacao) 1">
              <a:extLst>
                <a:ext uri="{FF2B5EF4-FFF2-40B4-BE49-F238E27FC236}">
                  <a16:creationId xmlns:a16="http://schemas.microsoft.com/office/drawing/2014/main" id="{55FFBE56-CE75-4CC8-BF02-4652B396C0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_Transacao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60376" y="10286999"/>
              <a:ext cx="4288446" cy="13195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40</xdr:col>
      <xdr:colOff>399494</xdr:colOff>
      <xdr:row>63</xdr:row>
      <xdr:rowOff>127968</xdr:rowOff>
    </xdr:from>
    <xdr:to>
      <xdr:col>52</xdr:col>
      <xdr:colOff>281111</xdr:colOff>
      <xdr:row>84</xdr:row>
      <xdr:rowOff>119061</xdr:rowOff>
    </xdr:to>
    <xdr:sp macro="" textlink="">
      <xdr:nvSpPr>
        <xdr:cNvPr id="39" name="Retângulo: Cantos Arredondados 38">
          <a:extLst>
            <a:ext uri="{FF2B5EF4-FFF2-40B4-BE49-F238E27FC236}">
              <a16:creationId xmlns:a16="http://schemas.microsoft.com/office/drawing/2014/main" id="{ED985351-A572-4425-9814-4BFCB4354D3F}"/>
            </a:ext>
          </a:extLst>
        </xdr:cNvPr>
        <xdr:cNvSpPr/>
      </xdr:nvSpPr>
      <xdr:spPr>
        <a:xfrm>
          <a:off x="25164494" y="12129468"/>
          <a:ext cx="7311117" cy="3991593"/>
        </a:xfrm>
        <a:prstGeom prst="roundRect">
          <a:avLst>
            <a:gd name="adj" fmla="val 22481"/>
          </a:avLst>
        </a:prstGeom>
        <a:solidFill>
          <a:schemeClr val="accent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41</xdr:col>
      <xdr:colOff>18494</xdr:colOff>
      <xdr:row>65</xdr:row>
      <xdr:rowOff>15710</xdr:rowOff>
    </xdr:from>
    <xdr:to>
      <xdr:col>52</xdr:col>
      <xdr:colOff>261938</xdr:colOff>
      <xdr:row>85</xdr:row>
      <xdr:rowOff>0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6E373D3F-558E-4FEA-9C16-9B2376EB7D0A}"/>
            </a:ext>
          </a:extLst>
        </xdr:cNvPr>
        <xdr:cNvSpPr/>
      </xdr:nvSpPr>
      <xdr:spPr>
        <a:xfrm>
          <a:off x="25402619" y="12398210"/>
          <a:ext cx="7053819" cy="3794290"/>
        </a:xfrm>
        <a:prstGeom prst="roundRect">
          <a:avLst>
            <a:gd name="adj" fmla="val 22481"/>
          </a:avLst>
        </a:prstGeom>
        <a:noFill/>
        <a:ln>
          <a:noFill/>
        </a:ln>
        <a:effectLst>
          <a:outerShdw blurRad="50800" dist="38100" dir="8100000" algn="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800" b="1">
              <a:solidFill>
                <a:schemeClr val="tx1"/>
              </a:solidFill>
            </a:rPr>
            <a:t>Em</a:t>
          </a:r>
          <a:r>
            <a:rPr lang="pt-BR" sz="2800" b="1" baseline="0">
              <a:solidFill>
                <a:schemeClr val="tx1"/>
              </a:solidFill>
            </a:rPr>
            <a:t> fevereiro e maio, Marketing é o menor entre todos. Observa-se que em março e abril, onde houve mais lucro, foi justamente quando Marketing cresceu. Ou seja, o </a:t>
          </a:r>
          <a:r>
            <a:rPr lang="pt-BR" sz="2800" b="1" baseline="0">
              <a:solidFill>
                <a:srgbClr val="FF0000"/>
              </a:solidFill>
            </a:rPr>
            <a:t>lucro é proporcional ao Marketing</a:t>
          </a:r>
          <a:r>
            <a:rPr lang="pt-BR" sz="2800" b="1" baseline="0">
              <a:solidFill>
                <a:schemeClr val="tx1"/>
              </a:solidFill>
            </a:rPr>
            <a:t>.  O mesmo acontece com a categoria "Serviços".</a:t>
          </a:r>
          <a:endParaRPr lang="pt-BR" sz="2800" b="1">
            <a:solidFill>
              <a:schemeClr val="tx1"/>
            </a:solidFill>
          </a:endParaRPr>
        </a:p>
      </xdr:txBody>
    </xdr:sp>
    <xdr:clientData/>
  </xdr:twoCellAnchor>
  <xdr:twoCellAnchor>
    <xdr:from>
      <xdr:col>29</xdr:col>
      <xdr:colOff>161369</xdr:colOff>
      <xdr:row>51</xdr:row>
      <xdr:rowOff>56531</xdr:rowOff>
    </xdr:from>
    <xdr:to>
      <xdr:col>36</xdr:col>
      <xdr:colOff>452438</xdr:colOff>
      <xdr:row>55</xdr:row>
      <xdr:rowOff>176274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id="{8D6591F0-8F80-486B-91C1-2960076D2ED3}"/>
            </a:ext>
          </a:extLst>
        </xdr:cNvPr>
        <xdr:cNvSpPr/>
      </xdr:nvSpPr>
      <xdr:spPr>
        <a:xfrm>
          <a:off x="16877744" y="9772031"/>
          <a:ext cx="4624944" cy="881743"/>
        </a:xfrm>
        <a:prstGeom prst="roundRect">
          <a:avLst>
            <a:gd name="adj" fmla="val 22481"/>
          </a:avLst>
        </a:prstGeom>
        <a:solidFill>
          <a:schemeClr val="accent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208994</xdr:colOff>
      <xdr:row>51</xdr:row>
      <xdr:rowOff>182399</xdr:rowOff>
    </xdr:from>
    <xdr:to>
      <xdr:col>36</xdr:col>
      <xdr:colOff>571501</xdr:colOff>
      <xdr:row>54</xdr:row>
      <xdr:rowOff>119062</xdr:rowOff>
    </xdr:to>
    <xdr:sp macro="" textlink="">
      <xdr:nvSpPr>
        <xdr:cNvPr id="42" name="Retângulo: Cantos Arredondados 41">
          <a:extLst>
            <a:ext uri="{FF2B5EF4-FFF2-40B4-BE49-F238E27FC236}">
              <a16:creationId xmlns:a16="http://schemas.microsoft.com/office/drawing/2014/main" id="{2184F998-314C-48D1-ADEC-8CC49CC7DA37}"/>
            </a:ext>
          </a:extLst>
        </xdr:cNvPr>
        <xdr:cNvSpPr/>
      </xdr:nvSpPr>
      <xdr:spPr>
        <a:xfrm>
          <a:off x="16925369" y="9897899"/>
          <a:ext cx="4696382" cy="508163"/>
        </a:xfrm>
        <a:prstGeom prst="roundRect">
          <a:avLst>
            <a:gd name="adj" fmla="val 22481"/>
          </a:avLst>
        </a:prstGeom>
        <a:noFill/>
        <a:ln>
          <a:noFill/>
        </a:ln>
        <a:effectLst>
          <a:outerShdw blurRad="50800" dist="38100" dir="8100000" algn="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800" b="1">
              <a:solidFill>
                <a:schemeClr val="tx1"/>
              </a:solidFill>
            </a:rPr>
            <a:t>LUCRO POR DEPARTAMENTO</a:t>
          </a:r>
        </a:p>
      </xdr:txBody>
    </xdr:sp>
    <xdr:clientData/>
  </xdr:twoCellAnchor>
  <xdr:twoCellAnchor>
    <xdr:from>
      <xdr:col>29</xdr:col>
      <xdr:colOff>337581</xdr:colOff>
      <xdr:row>91</xdr:row>
      <xdr:rowOff>42244</xdr:rowOff>
    </xdr:from>
    <xdr:to>
      <xdr:col>36</xdr:col>
      <xdr:colOff>380999</xdr:colOff>
      <xdr:row>95</xdr:row>
      <xdr:rowOff>47625</xdr:rowOff>
    </xdr:to>
    <xdr:sp macro="" textlink="">
      <xdr:nvSpPr>
        <xdr:cNvPr id="43" name="Retângulo: Cantos Arredondados 42">
          <a:extLst>
            <a:ext uri="{FF2B5EF4-FFF2-40B4-BE49-F238E27FC236}">
              <a16:creationId xmlns:a16="http://schemas.microsoft.com/office/drawing/2014/main" id="{294D6D16-3F43-4D52-8ED8-84566C25E8DD}"/>
            </a:ext>
          </a:extLst>
        </xdr:cNvPr>
        <xdr:cNvSpPr/>
      </xdr:nvSpPr>
      <xdr:spPr>
        <a:xfrm>
          <a:off x="18292206" y="17377744"/>
          <a:ext cx="4377293" cy="767381"/>
        </a:xfrm>
        <a:prstGeom prst="roundRect">
          <a:avLst>
            <a:gd name="adj" fmla="val 22481"/>
          </a:avLst>
        </a:prstGeom>
        <a:solidFill>
          <a:schemeClr val="accent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575699</xdr:colOff>
      <xdr:row>91</xdr:row>
      <xdr:rowOff>144299</xdr:rowOff>
    </xdr:from>
    <xdr:to>
      <xdr:col>37</xdr:col>
      <xdr:colOff>319081</xdr:colOff>
      <xdr:row>94</xdr:row>
      <xdr:rowOff>80962</xdr:rowOff>
    </xdr:to>
    <xdr:sp macro="" textlink="">
      <xdr:nvSpPr>
        <xdr:cNvPr id="44" name="Retângulo: Cantos Arredondados 43">
          <a:extLst>
            <a:ext uri="{FF2B5EF4-FFF2-40B4-BE49-F238E27FC236}">
              <a16:creationId xmlns:a16="http://schemas.microsoft.com/office/drawing/2014/main" id="{9B98E0E4-0027-4582-A0D3-76990B293990}"/>
            </a:ext>
          </a:extLst>
        </xdr:cNvPr>
        <xdr:cNvSpPr/>
      </xdr:nvSpPr>
      <xdr:spPr>
        <a:xfrm>
          <a:off x="18530324" y="17479799"/>
          <a:ext cx="4696382" cy="508163"/>
        </a:xfrm>
        <a:prstGeom prst="roundRect">
          <a:avLst>
            <a:gd name="adj" fmla="val 22481"/>
          </a:avLst>
        </a:prstGeom>
        <a:noFill/>
        <a:ln>
          <a:noFill/>
        </a:ln>
        <a:effectLst>
          <a:outerShdw blurRad="50800" dist="38100" dir="8100000" algn="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800" b="1">
              <a:solidFill>
                <a:schemeClr val="tx1"/>
              </a:solidFill>
            </a:rPr>
            <a:t>LUCRO POR CATEGORIA</a:t>
          </a:r>
        </a:p>
        <a:p>
          <a:pPr algn="l"/>
          <a:endParaRPr lang="pt-BR" sz="28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380999</xdr:colOff>
      <xdr:row>92</xdr:row>
      <xdr:rowOff>142874</xdr:rowOff>
    </xdr:from>
    <xdr:to>
      <xdr:col>39</xdr:col>
      <xdr:colOff>476250</xdr:colOff>
      <xdr:row>123</xdr:row>
      <xdr:rowOff>47625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CADF875B-3DA1-4649-9826-5F4836022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363682</xdr:colOff>
      <xdr:row>87</xdr:row>
      <xdr:rowOff>173182</xdr:rowOff>
    </xdr:from>
    <xdr:to>
      <xdr:col>49</xdr:col>
      <xdr:colOff>197276</xdr:colOff>
      <xdr:row>97</xdr:row>
      <xdr:rowOff>83534</xdr:rowOff>
    </xdr:to>
    <xdr:sp macro="" textlink="">
      <xdr:nvSpPr>
        <xdr:cNvPr id="46" name="Retângulo: Cantos Arredondados 45">
          <a:extLst>
            <a:ext uri="{FF2B5EF4-FFF2-40B4-BE49-F238E27FC236}">
              <a16:creationId xmlns:a16="http://schemas.microsoft.com/office/drawing/2014/main" id="{DEC95357-F3DA-42AF-B399-A99B4BAF6039}"/>
            </a:ext>
          </a:extLst>
        </xdr:cNvPr>
        <xdr:cNvSpPr/>
      </xdr:nvSpPr>
      <xdr:spPr>
        <a:xfrm>
          <a:off x="24003000" y="16746682"/>
          <a:ext cx="4682685" cy="1815352"/>
        </a:xfrm>
        <a:prstGeom prst="roundRect">
          <a:avLst>
            <a:gd name="adj" fmla="val 22481"/>
          </a:avLst>
        </a:prstGeom>
        <a:solidFill>
          <a:schemeClr val="accent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42</xdr:col>
      <xdr:colOff>57583</xdr:colOff>
      <xdr:row>89</xdr:row>
      <xdr:rowOff>101744</xdr:rowOff>
    </xdr:from>
    <xdr:to>
      <xdr:col>49</xdr:col>
      <xdr:colOff>12155</xdr:colOff>
      <xdr:row>96</xdr:row>
      <xdr:rowOff>87827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7" name="Meses (Data_Transacao) 2">
              <a:extLst>
                <a:ext uri="{FF2B5EF4-FFF2-40B4-BE49-F238E27FC236}">
                  <a16:creationId xmlns:a16="http://schemas.microsoft.com/office/drawing/2014/main" id="{57777A2D-E375-44D7-8F13-FBC24BA4EA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_Transacao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060833" y="17056244"/>
              <a:ext cx="4288447" cy="13195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8</xdr:col>
      <xdr:colOff>166687</xdr:colOff>
      <xdr:row>52</xdr:row>
      <xdr:rowOff>36800</xdr:rowOff>
    </xdr:from>
    <xdr:to>
      <xdr:col>22</xdr:col>
      <xdr:colOff>476250</xdr:colOff>
      <xdr:row>87</xdr:row>
      <xdr:rowOff>71437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770C24F2-2B7B-4856-8727-5EE5D49E6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595313</xdr:colOff>
      <xdr:row>19</xdr:row>
      <xdr:rowOff>140710</xdr:rowOff>
    </xdr:from>
    <xdr:to>
      <xdr:col>24</xdr:col>
      <xdr:colOff>500063</xdr:colOff>
      <xdr:row>45</xdr:row>
      <xdr:rowOff>175346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6A787998-FFF1-4E9F-A355-740705EE5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333374</xdr:colOff>
      <xdr:row>46</xdr:row>
      <xdr:rowOff>137494</xdr:rowOff>
    </xdr:from>
    <xdr:to>
      <xdr:col>20</xdr:col>
      <xdr:colOff>71437</xdr:colOff>
      <xdr:row>51</xdr:row>
      <xdr:rowOff>66737</xdr:rowOff>
    </xdr:to>
    <xdr:sp macro="" textlink="">
      <xdr:nvSpPr>
        <xdr:cNvPr id="54" name="Retângulo: Cantos Arredondados 53">
          <a:extLst>
            <a:ext uri="{FF2B5EF4-FFF2-40B4-BE49-F238E27FC236}">
              <a16:creationId xmlns:a16="http://schemas.microsoft.com/office/drawing/2014/main" id="{C55C828F-3823-46EC-AFAD-7E1DC734A98F}"/>
            </a:ext>
          </a:extLst>
        </xdr:cNvPr>
        <xdr:cNvSpPr/>
      </xdr:nvSpPr>
      <xdr:spPr>
        <a:xfrm>
          <a:off x="6524624" y="8900494"/>
          <a:ext cx="5929313" cy="881743"/>
        </a:xfrm>
        <a:prstGeom prst="roundRect">
          <a:avLst>
            <a:gd name="adj" fmla="val 22481"/>
          </a:avLst>
        </a:prstGeom>
        <a:solidFill>
          <a:schemeClr val="accent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543234</xdr:colOff>
      <xdr:row>47</xdr:row>
      <xdr:rowOff>96675</xdr:rowOff>
    </xdr:from>
    <xdr:to>
      <xdr:col>19</xdr:col>
      <xdr:colOff>571500</xdr:colOff>
      <xdr:row>50</xdr:row>
      <xdr:rowOff>47625</xdr:rowOff>
    </xdr:to>
    <xdr:sp macro="" textlink="">
      <xdr:nvSpPr>
        <xdr:cNvPr id="55" name="Retângulo: Cantos Arredondados 54">
          <a:extLst>
            <a:ext uri="{FF2B5EF4-FFF2-40B4-BE49-F238E27FC236}">
              <a16:creationId xmlns:a16="http://schemas.microsoft.com/office/drawing/2014/main" id="{A84EE221-9CAA-40B8-94C1-22F49D86DD59}"/>
            </a:ext>
          </a:extLst>
        </xdr:cNvPr>
        <xdr:cNvSpPr/>
      </xdr:nvSpPr>
      <xdr:spPr>
        <a:xfrm>
          <a:off x="6734484" y="9050175"/>
          <a:ext cx="5600391" cy="522450"/>
        </a:xfrm>
        <a:prstGeom prst="roundRect">
          <a:avLst>
            <a:gd name="adj" fmla="val 22481"/>
          </a:avLst>
        </a:prstGeom>
        <a:noFill/>
        <a:ln>
          <a:noFill/>
        </a:ln>
        <a:effectLst>
          <a:outerShdw blurRad="50800" dist="38100" dir="8100000" algn="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800" b="1">
              <a:solidFill>
                <a:schemeClr val="tx1"/>
              </a:solidFill>
            </a:rPr>
            <a:t>LUCRO</a:t>
          </a:r>
          <a:r>
            <a:rPr lang="pt-BR" sz="2800" b="1" baseline="0">
              <a:solidFill>
                <a:schemeClr val="tx1"/>
              </a:solidFill>
            </a:rPr>
            <a:t> POR SEGMENTO DO CIENTE</a:t>
          </a:r>
        </a:p>
        <a:p>
          <a:pPr algn="l"/>
          <a:endParaRPr lang="pt-BR" sz="28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600383</xdr:colOff>
      <xdr:row>18</xdr:row>
      <xdr:rowOff>71437</xdr:rowOff>
    </xdr:from>
    <xdr:to>
      <xdr:col>21</xdr:col>
      <xdr:colOff>285748</xdr:colOff>
      <xdr:row>21</xdr:row>
      <xdr:rowOff>171512</xdr:rowOff>
    </xdr:to>
    <xdr:sp macro="" textlink="">
      <xdr:nvSpPr>
        <xdr:cNvPr id="56" name="Retângulo: Cantos Arredondados 55">
          <a:extLst>
            <a:ext uri="{FF2B5EF4-FFF2-40B4-BE49-F238E27FC236}">
              <a16:creationId xmlns:a16="http://schemas.microsoft.com/office/drawing/2014/main" id="{A2490922-DAAE-480F-8423-A6D880D352B9}"/>
            </a:ext>
          </a:extLst>
        </xdr:cNvPr>
        <xdr:cNvSpPr/>
      </xdr:nvSpPr>
      <xdr:spPr>
        <a:xfrm>
          <a:off x="6172508" y="3500437"/>
          <a:ext cx="7114865" cy="671575"/>
        </a:xfrm>
        <a:prstGeom prst="roundRect">
          <a:avLst>
            <a:gd name="adj" fmla="val 22481"/>
          </a:avLst>
        </a:prstGeom>
        <a:solidFill>
          <a:schemeClr val="accent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171758</xdr:colOff>
      <xdr:row>18</xdr:row>
      <xdr:rowOff>125802</xdr:rowOff>
    </xdr:from>
    <xdr:to>
      <xdr:col>21</xdr:col>
      <xdr:colOff>166687</xdr:colOff>
      <xdr:row>21</xdr:row>
      <xdr:rowOff>0</xdr:rowOff>
    </xdr:to>
    <xdr:sp macro="" textlink="">
      <xdr:nvSpPr>
        <xdr:cNvPr id="57" name="Retângulo: Cantos Arredondados 56">
          <a:extLst>
            <a:ext uri="{FF2B5EF4-FFF2-40B4-BE49-F238E27FC236}">
              <a16:creationId xmlns:a16="http://schemas.microsoft.com/office/drawing/2014/main" id="{D3726025-6D38-4AFC-BA49-8ED96EB0D28B}"/>
            </a:ext>
          </a:extLst>
        </xdr:cNvPr>
        <xdr:cNvSpPr/>
      </xdr:nvSpPr>
      <xdr:spPr>
        <a:xfrm>
          <a:off x="6363008" y="3554802"/>
          <a:ext cx="6805304" cy="445698"/>
        </a:xfrm>
        <a:prstGeom prst="roundRect">
          <a:avLst>
            <a:gd name="adj" fmla="val 22481"/>
          </a:avLst>
        </a:prstGeom>
        <a:noFill/>
        <a:ln>
          <a:noFill/>
        </a:ln>
        <a:effectLst>
          <a:outerShdw blurRad="50800" dist="38100" dir="8100000" algn="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800" b="1" baseline="0">
              <a:solidFill>
                <a:schemeClr val="tx1"/>
              </a:solidFill>
            </a:rPr>
            <a:t>RECEITA E CUSTO POR PRODUTO VS LUCRO</a:t>
          </a:r>
        </a:p>
        <a:p>
          <a:pPr algn="l"/>
          <a:endParaRPr lang="pt-BR" sz="28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588347</xdr:colOff>
      <xdr:row>0</xdr:row>
      <xdr:rowOff>113704</xdr:rowOff>
    </xdr:from>
    <xdr:to>
      <xdr:col>21</xdr:col>
      <xdr:colOff>357187</xdr:colOff>
      <xdr:row>8</xdr:row>
      <xdr:rowOff>23812</xdr:rowOff>
    </xdr:to>
    <xdr:sp macro="" textlink="">
      <xdr:nvSpPr>
        <xdr:cNvPr id="58" name="Retângulo: Cantos Arredondados 57">
          <a:extLst>
            <a:ext uri="{FF2B5EF4-FFF2-40B4-BE49-F238E27FC236}">
              <a16:creationId xmlns:a16="http://schemas.microsoft.com/office/drawing/2014/main" id="{66596446-938D-428E-9D72-9456F5BDCD80}"/>
            </a:ext>
          </a:extLst>
        </xdr:cNvPr>
        <xdr:cNvSpPr/>
      </xdr:nvSpPr>
      <xdr:spPr>
        <a:xfrm>
          <a:off x="588347" y="113704"/>
          <a:ext cx="12770465" cy="1434108"/>
        </a:xfrm>
        <a:prstGeom prst="roundRect">
          <a:avLst>
            <a:gd name="adj" fmla="val 22481"/>
          </a:avLst>
        </a:prstGeom>
        <a:solidFill>
          <a:schemeClr val="accent5"/>
        </a:solidFill>
        <a:ln>
          <a:noFill/>
        </a:ln>
        <a:effectLst>
          <a:outerShdw blurRad="50800" dist="38100" dir="8100000" algn="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3200" b="1" baseline="0">
              <a:solidFill>
                <a:schemeClr val="tx1"/>
              </a:solidFill>
            </a:rPr>
            <a:t>1) DASHBOARD DINÂMICO: FILTRO POR MESES, REGIÕES E STATUS DE </a:t>
          </a:r>
        </a:p>
        <a:p>
          <a:pPr algn="l"/>
          <a:r>
            <a:rPr lang="pt-BR" sz="3200" b="1" baseline="0">
              <a:solidFill>
                <a:schemeClr val="tx1"/>
              </a:solidFill>
            </a:rPr>
            <a:t>PAGAMENTO</a:t>
          </a:r>
        </a:p>
        <a:p>
          <a:pPr algn="l"/>
          <a:endParaRPr lang="pt-BR" sz="28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40</xdr:col>
      <xdr:colOff>452438</xdr:colOff>
      <xdr:row>35</xdr:row>
      <xdr:rowOff>142874</xdr:rowOff>
    </xdr:from>
    <xdr:to>
      <xdr:col>50</xdr:col>
      <xdr:colOff>190500</xdr:colOff>
      <xdr:row>49</xdr:row>
      <xdr:rowOff>119062</xdr:rowOff>
    </xdr:to>
    <xdr:sp macro="" textlink="'Tabela Dinâmica'!A35">
      <xdr:nvSpPr>
        <xdr:cNvPr id="59" name="Retângulo: Cantos Arredondados 58">
          <a:extLst>
            <a:ext uri="{FF2B5EF4-FFF2-40B4-BE49-F238E27FC236}">
              <a16:creationId xmlns:a16="http://schemas.microsoft.com/office/drawing/2014/main" id="{D3BD5078-16A1-4CD3-BB34-6E9C43F3E6E7}"/>
            </a:ext>
          </a:extLst>
        </xdr:cNvPr>
        <xdr:cNvSpPr/>
      </xdr:nvSpPr>
      <xdr:spPr>
        <a:xfrm>
          <a:off x="25217438" y="6810374"/>
          <a:ext cx="5929312" cy="2643188"/>
        </a:xfrm>
        <a:prstGeom prst="roundRect">
          <a:avLst>
            <a:gd name="adj" fmla="val 22481"/>
          </a:avLst>
        </a:prstGeom>
        <a:solidFill>
          <a:schemeClr val="accent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516BAB04-D1D1-4F30-95C4-4D6D3E3CE101}" type="TxLink">
            <a:rPr lang="en-US" sz="5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R$ 505.031,48 </a:t>
          </a:fld>
          <a:endParaRPr lang="pt-BR" sz="5400">
            <a:solidFill>
              <a:schemeClr val="bg1"/>
            </a:solidFill>
          </a:endParaRPr>
        </a:p>
      </xdr:txBody>
    </xdr:sp>
    <xdr:clientData/>
  </xdr:twoCellAnchor>
  <xdr:twoCellAnchor>
    <xdr:from>
      <xdr:col>41</xdr:col>
      <xdr:colOff>78760</xdr:colOff>
      <xdr:row>35</xdr:row>
      <xdr:rowOff>104175</xdr:rowOff>
    </xdr:from>
    <xdr:to>
      <xdr:col>49</xdr:col>
      <xdr:colOff>309562</xdr:colOff>
      <xdr:row>45</xdr:row>
      <xdr:rowOff>23811</xdr:rowOff>
    </xdr:to>
    <xdr:sp macro="" textlink="">
      <xdr:nvSpPr>
        <xdr:cNvPr id="60" name="Retângulo: Cantos Arredondados 59">
          <a:extLst>
            <a:ext uri="{FF2B5EF4-FFF2-40B4-BE49-F238E27FC236}">
              <a16:creationId xmlns:a16="http://schemas.microsoft.com/office/drawing/2014/main" id="{7346B44A-0111-4E0D-A406-DB5658C62C7F}"/>
            </a:ext>
          </a:extLst>
        </xdr:cNvPr>
        <xdr:cNvSpPr/>
      </xdr:nvSpPr>
      <xdr:spPr>
        <a:xfrm>
          <a:off x="25462885" y="6771675"/>
          <a:ext cx="5183802" cy="1824636"/>
        </a:xfrm>
        <a:prstGeom prst="roundRect">
          <a:avLst>
            <a:gd name="adj" fmla="val 22481"/>
          </a:avLst>
        </a:prstGeom>
        <a:noFill/>
        <a:ln>
          <a:noFill/>
        </a:ln>
        <a:effectLst>
          <a:outerShdw blurRad="50800" dist="38100" dir="8100000" algn="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3200" b="1">
              <a:solidFill>
                <a:schemeClr val="bg1"/>
              </a:solidFill>
            </a:rPr>
            <a:t>1,9%</a:t>
          </a:r>
          <a:r>
            <a:rPr lang="pt-BR" sz="3200" b="1" baseline="0">
              <a:solidFill>
                <a:schemeClr val="bg1"/>
              </a:solidFill>
            </a:rPr>
            <a:t> </a:t>
          </a:r>
          <a:r>
            <a:rPr lang="pt-BR" sz="2800" b="1" baseline="0">
              <a:solidFill>
                <a:schemeClr val="tx1"/>
              </a:solidFill>
            </a:rPr>
            <a:t>DE MARGEM DE DIFERENÇA, QUE EQUIVALE A UMA </a:t>
          </a:r>
          <a:r>
            <a:rPr lang="pt-BR" sz="2800" b="1" baseline="0">
              <a:solidFill>
                <a:srgbClr val="FF0000"/>
              </a:solidFill>
            </a:rPr>
            <a:t>PERDA</a:t>
          </a:r>
          <a:r>
            <a:rPr lang="pt-BR" sz="2800" b="1" baseline="0">
              <a:solidFill>
                <a:schemeClr val="tx1"/>
              </a:solidFill>
            </a:rPr>
            <a:t> DE LUCRO DE:  </a:t>
          </a:r>
          <a:endParaRPr lang="pt-BR" sz="2800" b="1">
            <a:solidFill>
              <a:schemeClr val="tx1"/>
            </a:solidFill>
          </a:endParaRPr>
        </a:p>
        <a:p>
          <a:pPr algn="l"/>
          <a:endParaRPr lang="pt-BR" sz="28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40</xdr:col>
      <xdr:colOff>597044</xdr:colOff>
      <xdr:row>44</xdr:row>
      <xdr:rowOff>161921</xdr:rowOff>
    </xdr:from>
    <xdr:to>
      <xdr:col>42</xdr:col>
      <xdr:colOff>190500</xdr:colOff>
      <xdr:row>48</xdr:row>
      <xdr:rowOff>119060</xdr:rowOff>
    </xdr:to>
    <xdr:sp macro="" textlink="">
      <xdr:nvSpPr>
        <xdr:cNvPr id="61" name="Triângulo isósceles 60">
          <a:extLst>
            <a:ext uri="{FF2B5EF4-FFF2-40B4-BE49-F238E27FC236}">
              <a16:creationId xmlns:a16="http://schemas.microsoft.com/office/drawing/2014/main" id="{CB55C2C8-DA4E-46FE-9429-E36DFFFCC2C9}"/>
            </a:ext>
          </a:extLst>
        </xdr:cNvPr>
        <xdr:cNvSpPr/>
      </xdr:nvSpPr>
      <xdr:spPr>
        <a:xfrm rot="10800000">
          <a:off x="25362044" y="8543921"/>
          <a:ext cx="831706" cy="719139"/>
        </a:xfrm>
        <a:prstGeom prst="triangle">
          <a:avLst/>
        </a:prstGeom>
        <a:solidFill>
          <a:srgbClr val="FF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1000125</xdr:colOff>
      <xdr:row>1</xdr:row>
      <xdr:rowOff>176212</xdr:rowOff>
    </xdr:from>
    <xdr:to>
      <xdr:col>11</xdr:col>
      <xdr:colOff>466725</xdr:colOff>
      <xdr:row>16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45F4CFD-0120-9200-B972-73D111350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80.67497349537" createdVersion="8" refreshedVersion="8" minRefreshableVersion="3" recordCount="1000" xr:uid="{32EB19B1-AEBA-4739-8B04-81C1974DC58A}">
  <cacheSource type="worksheet">
    <worksheetSource name="Tabela7"/>
  </cacheSource>
  <cacheFields count="21">
    <cacheField name="ID_Transacao" numFmtId="1">
      <sharedItems containsSemiMixedTypes="0" containsString="0" containsNumber="1" containsInteger="1" minValue="1" maxValue="1000"/>
    </cacheField>
    <cacheField name="Data_Transacao" numFmtId="14">
      <sharedItems containsSemiMixedTypes="0" containsNonDate="0" containsDate="1" containsString="0" minDate="2025-01-01T00:00:00" maxDate="2025-07-01T00:00:00" count="180">
        <d v="2025-06-10T00:00:00"/>
        <d v="2025-02-16T00:00:00"/>
        <d v="2025-06-19T00:00:00"/>
        <d v="2025-01-15T00:00:00"/>
        <d v="2025-04-23T00:00:00"/>
        <d v="2025-03-13T00:00:00"/>
        <d v="2025-06-02T00:00:00"/>
        <d v="2025-04-07T00:00:00"/>
        <d v="2025-04-08T00:00:00"/>
        <d v="2025-04-10T00:00:00"/>
        <d v="2025-05-31T00:00:00"/>
        <d v="2025-03-27T00:00:00"/>
        <d v="2025-03-08T00:00:00"/>
        <d v="2025-03-14T00:00:00"/>
        <d v="2025-04-14T00:00:00"/>
        <d v="2025-06-28T00:00:00"/>
        <d v="2025-02-05T00:00:00"/>
        <d v="2025-04-20T00:00:00"/>
        <d v="2025-02-04T00:00:00"/>
        <d v="2025-06-30T00:00:00"/>
        <d v="2025-01-03T00:00:00"/>
        <d v="2025-04-16T00:00:00"/>
        <d v="2025-03-23T00:00:00"/>
        <d v="2025-02-02T00:00:00"/>
        <d v="2025-06-09T00:00:00"/>
        <d v="2025-04-25T00:00:00"/>
        <d v="2025-05-17T00:00:00"/>
        <d v="2025-06-11T00:00:00"/>
        <d v="2025-01-29T00:00:00"/>
        <d v="2025-01-04T00:00:00"/>
        <d v="2025-02-17T00:00:00"/>
        <d v="2025-05-11T00:00:00"/>
        <d v="2025-04-17T00:00:00"/>
        <d v="2025-03-26T00:00:00"/>
        <d v="2025-05-24T00:00:00"/>
        <d v="2025-01-13T00:00:00"/>
        <d v="2025-01-27T00:00:00"/>
        <d v="2025-04-12T00:00:00"/>
        <d v="2025-04-22T00:00:00"/>
        <d v="2025-05-29T00:00:00"/>
        <d v="2025-05-19T00:00:00"/>
        <d v="2025-03-05T00:00:00"/>
        <d v="2025-03-24T00:00:00"/>
        <d v="2025-01-25T00:00:00"/>
        <d v="2025-03-07T00:00:00"/>
        <d v="2025-06-18T00:00:00"/>
        <d v="2025-06-24T00:00:00"/>
        <d v="2025-05-30T00:00:00"/>
        <d v="2025-05-12T00:00:00"/>
        <d v="2025-01-01T00:00:00"/>
        <d v="2025-01-18T00:00:00"/>
        <d v="2025-05-14T00:00:00"/>
        <d v="2025-01-07T00:00:00"/>
        <d v="2025-01-06T00:00:00"/>
        <d v="2025-03-29T00:00:00"/>
        <d v="2025-03-02T00:00:00"/>
        <d v="2025-05-13T00:00:00"/>
        <d v="2025-04-02T00:00:00"/>
        <d v="2025-04-15T00:00:00"/>
        <d v="2025-03-20T00:00:00"/>
        <d v="2025-03-09T00:00:00"/>
        <d v="2025-04-13T00:00:00"/>
        <d v="2025-05-07T00:00:00"/>
        <d v="2025-03-12T00:00:00"/>
        <d v="2025-03-21T00:00:00"/>
        <d v="2025-04-06T00:00:00"/>
        <d v="2025-06-29T00:00:00"/>
        <d v="2025-05-16T00:00:00"/>
        <d v="2025-03-19T00:00:00"/>
        <d v="2025-01-23T00:00:00"/>
        <d v="2025-06-22T00:00:00"/>
        <d v="2025-05-08T00:00:00"/>
        <d v="2025-05-28T00:00:00"/>
        <d v="2025-01-12T00:00:00"/>
        <d v="2025-02-25T00:00:00"/>
        <d v="2025-01-08T00:00:00"/>
        <d v="2025-06-04T00:00:00"/>
        <d v="2025-01-22T00:00:00"/>
        <d v="2025-06-12T00:00:00"/>
        <d v="2025-05-04T00:00:00"/>
        <d v="2025-03-30T00:00:00"/>
        <d v="2025-03-31T00:00:00"/>
        <d v="2025-02-19T00:00:00"/>
        <d v="2025-01-28T00:00:00"/>
        <d v="2025-05-02T00:00:00"/>
        <d v="2025-03-03T00:00:00"/>
        <d v="2025-02-28T00:00:00"/>
        <d v="2025-04-29T00:00:00"/>
        <d v="2025-06-16T00:00:00"/>
        <d v="2025-03-16T00:00:00"/>
        <d v="2025-05-20T00:00:00"/>
        <d v="2025-02-23T00:00:00"/>
        <d v="2025-04-26T00:00:00"/>
        <d v="2025-04-05T00:00:00"/>
        <d v="2025-06-08T00:00:00"/>
        <d v="2025-03-06T00:00:00"/>
        <d v="2025-04-30T00:00:00"/>
        <d v="2025-03-01T00:00:00"/>
        <d v="2025-05-05T00:00:00"/>
        <d v="2025-03-17T00:00:00"/>
        <d v="2025-04-11T00:00:00"/>
        <d v="2025-02-15T00:00:00"/>
        <d v="2025-02-27T00:00:00"/>
        <d v="2025-05-15T00:00:00"/>
        <d v="2025-05-18T00:00:00"/>
        <d v="2025-05-01T00:00:00"/>
        <d v="2025-02-26T00:00:00"/>
        <d v="2025-06-21T00:00:00"/>
        <d v="2025-01-20T00:00:00"/>
        <d v="2025-02-03T00:00:00"/>
        <d v="2025-02-07T00:00:00"/>
        <d v="2025-04-18T00:00:00"/>
        <d v="2025-06-27T00:00:00"/>
        <d v="2025-06-25T00:00:00"/>
        <d v="2025-03-10T00:00:00"/>
        <d v="2025-01-11T00:00:00"/>
        <d v="2025-03-25T00:00:00"/>
        <d v="2025-03-04T00:00:00"/>
        <d v="2025-04-04T00:00:00"/>
        <d v="2025-04-01T00:00:00"/>
        <d v="2025-04-09T00:00:00"/>
        <d v="2025-01-09T00:00:00"/>
        <d v="2025-06-23T00:00:00"/>
        <d v="2025-02-11T00:00:00"/>
        <d v="2025-02-24T00:00:00"/>
        <d v="2025-05-25T00:00:00"/>
        <d v="2025-06-07T00:00:00"/>
        <d v="2025-06-05T00:00:00"/>
        <d v="2025-02-13T00:00:00"/>
        <d v="2025-02-09T00:00:00"/>
        <d v="2025-04-28T00:00:00"/>
        <d v="2025-06-17T00:00:00"/>
        <d v="2025-02-08T00:00:00"/>
        <d v="2025-01-30T00:00:00"/>
        <d v="2025-04-03T00:00:00"/>
        <d v="2025-04-19T00:00:00"/>
        <d v="2025-01-26T00:00:00"/>
        <d v="2025-03-22T00:00:00"/>
        <d v="2025-03-15T00:00:00"/>
        <d v="2025-05-06T00:00:00"/>
        <d v="2025-01-16T00:00:00"/>
        <d v="2025-06-01T00:00:00"/>
        <d v="2025-01-10T00:00:00"/>
        <d v="2025-06-26T00:00:00"/>
        <d v="2025-05-21T00:00:00"/>
        <d v="2025-04-24T00:00:00"/>
        <d v="2025-02-18T00:00:00"/>
        <d v="2025-01-14T00:00:00"/>
        <d v="2025-01-02T00:00:00"/>
        <d v="2025-01-17T00:00:00"/>
        <d v="2025-06-15T00:00:00"/>
        <d v="2025-02-10T00:00:00"/>
        <d v="2025-05-22T00:00:00"/>
        <d v="2025-05-10T00:00:00"/>
        <d v="2025-05-27T00:00:00"/>
        <d v="2025-02-20T00:00:00"/>
        <d v="2025-03-11T00:00:00"/>
        <d v="2025-06-13T00:00:00"/>
        <d v="2025-03-28T00:00:00"/>
        <d v="2025-02-01T00:00:00"/>
        <d v="2025-06-14T00:00:00"/>
        <d v="2025-01-05T00:00:00"/>
        <d v="2025-05-23T00:00:00"/>
        <d v="2025-05-26T00:00:00"/>
        <d v="2025-02-22T00:00:00"/>
        <d v="2025-02-21T00:00:00"/>
        <d v="2025-05-03T00:00:00"/>
        <d v="2025-01-31T00:00:00"/>
        <d v="2025-06-06T00:00:00"/>
        <d v="2025-06-20T00:00:00"/>
        <d v="2025-02-06T00:00:00"/>
        <d v="2025-04-27T00:00:00"/>
        <d v="2025-04-21T00:00:00"/>
        <d v="2025-01-24T00:00:00"/>
        <d v="2025-02-14T00:00:00"/>
        <d v="2025-02-12T00:00:00"/>
        <d v="2025-06-03T00:00:00"/>
        <d v="2025-03-18T00:00:00"/>
        <d v="2025-05-09T00:00:00"/>
        <d v="2025-01-21T00:00:00"/>
      </sharedItems>
      <fieldGroup par="19"/>
    </cacheField>
    <cacheField name="Departamento" numFmtId="49">
      <sharedItems count="4">
        <s v="Marketing"/>
        <s v="Financeiro"/>
        <s v="Operações"/>
        <s v="Vendas"/>
      </sharedItems>
    </cacheField>
    <cacheField name="Produto" numFmtId="49">
      <sharedItems count="5">
        <s v="Produto A"/>
        <s v="Plano Básico"/>
        <s v="Serviço X"/>
        <s v="Produto B"/>
        <s v="Plano Premium"/>
      </sharedItems>
    </cacheField>
    <cacheField name="Categoria" numFmtId="49">
      <sharedItems count="4">
        <s v="Serviços"/>
        <s v="Consultoria"/>
        <s v="Tecnologia"/>
        <s v="Assinatura"/>
      </sharedItems>
    </cacheField>
    <cacheField name="Cliente_ID" numFmtId="1">
      <sharedItems containsSemiMixedTypes="0" containsString="0" containsNumber="1" containsInteger="1" minValue="1001" maxValue="9981"/>
    </cacheField>
    <cacheField name="Segmento_Cliente" numFmtId="49">
      <sharedItems count="3">
        <s v="Média Empresa"/>
        <s v="Grande Empresa"/>
        <s v="Pequena Empresa"/>
      </sharedItems>
    </cacheField>
    <cacheField name="Regiao" numFmtId="49">
      <sharedItems count="5">
        <s v="Sudeste"/>
        <s v="Norte"/>
        <s v="Nordeste"/>
        <s v="Sul"/>
        <s v="Centro-Oeste"/>
      </sharedItems>
    </cacheField>
    <cacheField name="Quantidade" numFmtId="1">
      <sharedItems containsSemiMixedTypes="0" containsString="0" containsNumber="1" containsInteger="1" minValue="1" maxValue="20" count="20"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Preco_Unitario" numFmtId="44">
      <sharedItems containsSemiMixedTypes="0" containsString="0" containsNumber="1" containsInteger="1" minValue="200" maxValue="4992"/>
    </cacheField>
    <cacheField name="Receita" numFmtId="44">
      <sharedItems containsSemiMixedTypes="0" containsString="0" containsNumber="1" containsInteger="1" minValue="343" maxValue="99280"/>
    </cacheField>
    <cacheField name="Custo" numFmtId="44">
      <sharedItems containsSemiMixedTypes="0" containsString="0" containsNumber="1" minValue="222.94" maxValue="74706.7"/>
    </cacheField>
    <cacheField name="Lucro" numFmtId="44">
      <sharedItems containsSemiMixedTypes="0" containsString="0" containsNumber="1" minValue="120.06" maxValue="53173.33"/>
    </cacheField>
    <cacheField name="Status_Pagamento" numFmtId="49">
      <sharedItems count="3">
        <s v="Atrasado"/>
        <s v="Pago"/>
        <s v="Pendente"/>
      </sharedItems>
    </cacheField>
    <cacheField name="Canal_Venda" numFmtId="49">
      <sharedItems count="3">
        <s v="Online"/>
        <s v="Presencial"/>
        <s v="Telefone"/>
      </sharedItems>
    </cacheField>
    <cacheField name="Responsavel" numFmtId="49">
      <sharedItems count="5">
        <s v="Fernanda"/>
        <s v="Carla"/>
        <s v="Diego"/>
        <s v="Bruno"/>
        <s v="Ana"/>
      </sharedItems>
    </cacheField>
    <cacheField name="Margem" numFmtId="9">
      <sharedItems containsSemiMixedTypes="0" containsString="0" containsNumber="1" minValue="0.20009683365611217" maxValue="0.59983797111659032" count="1000">
        <n v="0.34512570507655116"/>
        <n v="0.36337084347120846"/>
        <n v="0.45857688391038698"/>
        <n v="0.22647856699109545"/>
        <n v="0.51236269100169773"/>
        <n v="0.53267512744265089"/>
        <n v="0.2111175784551845"/>
        <n v="0.5490502432183707"/>
        <n v="0.58457926561125773"/>
        <n v="0.42654510361641612"/>
        <n v="0.59397529830437512"/>
        <n v="0.48723788915258964"/>
        <n v="0.5467687170146186"/>
        <n v="0.41917492103224269"/>
        <n v="0.4630091017964072"/>
        <n v="0.47418912274389879"/>
        <n v="0.32058938883541865"/>
        <n v="0.23160467357263309"/>
        <n v="0.59006290829905639"/>
        <n v="0.39852276364710809"/>
        <n v="0.52709713567962957"/>
        <n v="0.43514418512902076"/>
        <n v="0.2128512090194333"/>
        <n v="0.4047333483067555"/>
        <n v="0.53449681897050316"/>
        <n v="0.58915999797406804"/>
        <n v="0.20171476668409574"/>
        <n v="0.46370622267935202"/>
        <n v="0.36914622751693527"/>
        <n v="0.45302350344111147"/>
        <n v="0.34411551455301459"/>
        <n v="0.55223915653217814"/>
        <n v="0.29114017587609925"/>
        <n v="0.54518201114353937"/>
        <n v="0.4400900685477443"/>
        <n v="0.27609478080442645"/>
        <n v="0.23763311705721485"/>
        <n v="0.41675308641975306"/>
        <n v="0.32941270868732636"/>
        <n v="0.44182136105860115"/>
        <n v="0.38884445345771651"/>
        <n v="0.29634087215601301"/>
        <n v="0.37050284475751827"/>
        <n v="0.46233709888670593"/>
        <n v="0.33488189513926814"/>
        <n v="0.3366013437849944"/>
        <n v="0.33581231535178901"/>
        <n v="0.35665946020380063"/>
        <n v="0.55159433962264148"/>
        <n v="0.56150444074382466"/>
        <n v="0.23248430119477634"/>
        <n v="0.57455938805067708"/>
        <n v="0.40424585027100268"/>
        <n v="0.30056135733288053"/>
        <n v="0.44055520880617344"/>
        <n v="0.51739368648157613"/>
        <n v="0.47660973025599912"/>
        <n v="0.33036969053833137"/>
        <n v="0.21373053205220136"/>
        <n v="0.53194421680684345"/>
        <n v="0.32315531602155806"/>
        <n v="0.37157791552544328"/>
        <n v="0.36494885132206328"/>
        <n v="0.21213091235798748"/>
        <n v="0.47442671489622379"/>
        <n v="0.41571443337024733"/>
        <n v="0.24584729261731"/>
        <n v="0.36959018836433"/>
        <n v="0.2683689703639463"/>
        <n v="0.35492778377082584"/>
        <n v="0.46628163412870571"/>
        <n v="0.24423107207752878"/>
        <n v="0.48502273140571012"/>
        <n v="0.24817101273499093"/>
        <n v="0.39251468752853796"/>
        <n v="0.52791057504873296"/>
        <n v="0.42500137153306916"/>
        <n v="0.26766943460740017"/>
        <n v="0.32242184039709815"/>
        <n v="0.31653999326042337"/>
        <n v="0.43291226993865034"/>
        <n v="0.48348291484297018"/>
        <n v="0.54495713495575215"/>
        <n v="0.40763211413428652"/>
        <n v="0.44983594677521316"/>
        <n v="0.45420118526792641"/>
        <n v="0.2638462017919751"/>
        <n v="0.30064120947630923"/>
        <n v="0.29839241395457738"/>
        <n v="0.56648194505288196"/>
        <n v="0.24187707485123708"/>
        <n v="0.42512855571271413"/>
        <n v="0.25792487316043233"/>
        <n v="0.34103000554192064"/>
        <n v="0.34864148190439942"/>
        <n v="0.37575142857142857"/>
        <n v="0.30453763748490054"/>
        <n v="0.52754226205664712"/>
        <n v="0.43090519926523441"/>
        <n v="0.43356203324500125"/>
        <n v="0.3716792847938144"/>
        <n v="0.39629036424696462"/>
        <n v="0.47044674929613928"/>
        <n v="0.46515897269180756"/>
        <n v="0.29798842660896363"/>
        <n v="0.40081159658344284"/>
        <n v="0.58047739936039033"/>
        <n v="0.32652188328912468"/>
        <n v="0.39836940621051936"/>
        <n v="0.32008404342243491"/>
        <n v="0.5181689479334407"/>
        <n v="0.51199524416135878"/>
        <n v="0.43841130303653436"/>
        <n v="0.29325524403619413"/>
        <n v="0.51568218849155301"/>
        <n v="0.53976825168107589"/>
        <n v="0.22954453162640234"/>
        <n v="0.25643947386931137"/>
        <n v="0.50623456681091583"/>
        <n v="0.57478865248226951"/>
        <n v="0.51241624582118217"/>
        <n v="0.2499031856202171"/>
        <n v="0.33313789533804528"/>
        <n v="0.53218734376115995"/>
        <n v="0.50001875066966672"/>
        <n v="0.40474995518910201"/>
        <n v="0.26110734402468339"/>
        <n v="0.47433143618745727"/>
        <n v="0.58690728715728713"/>
        <n v="0.54903653644609873"/>
        <n v="0.27282172030935864"/>
        <n v="0.35256767559318336"/>
        <n v="0.39528218919213576"/>
        <n v="0.26541307366267175"/>
        <n v="0.48108378452785167"/>
        <n v="0.31631456996266938"/>
        <n v="0.58797263313609471"/>
        <n v="0.47134054753977062"/>
        <n v="0.4583130670831474"/>
        <n v="0.51208165847848741"/>
        <n v="0.38556093203305292"/>
        <n v="0.28528355811260137"/>
        <n v="0.59361586677893163"/>
        <n v="0.5036520155460843"/>
        <n v="0.50614318793651991"/>
        <n v="0.43130149883256763"/>
        <n v="0.28748873895277011"/>
        <n v="0.40954033485540331"/>
        <n v="0.44689844464775852"/>
        <n v="0.56657356503017953"/>
        <n v="0.58829939174622736"/>
        <n v="0.42561224489795918"/>
        <n v="0.3280665191912136"/>
        <n v="0.51920015576323986"/>
        <n v="0.28716341635338344"/>
        <n v="0.55714610485056348"/>
        <n v="0.49270805553376734"/>
        <n v="0.36937539246467815"/>
        <n v="0.4037489201287992"/>
        <n v="0.32141973368946147"/>
        <n v="0.58062475403384495"/>
        <n v="0.52584512609692469"/>
        <n v="0.5607231404958678"/>
        <n v="0.35292108245680309"/>
        <n v="0.20303053814781657"/>
        <n v="0.55190488508606106"/>
        <n v="0.37370323741007194"/>
        <n v="0.24960539730134934"/>
        <n v="0.34490111572078785"/>
        <n v="0.25944560838033842"/>
        <n v="0.49411030449687438"/>
        <n v="0.20259242069577851"/>
        <n v="0.46476046690714545"/>
        <n v="0.22540308016963254"/>
        <n v="0.57578472479138409"/>
        <n v="0.35325807579215757"/>
        <n v="0.58949895659001217"/>
        <n v="0.56799301595173157"/>
        <n v="0.40722585992540411"/>
        <n v="0.54411579427245216"/>
        <n v="0.23221952535059331"/>
        <n v="0.55817254019828377"/>
        <n v="0.49165686519853186"/>
        <n v="0.55572248763724752"/>
        <n v="0.49556860114055684"/>
        <n v="0.48786701100193164"/>
        <n v="0.40172454384932316"/>
        <n v="0.57848209018120522"/>
        <n v="0.47641679856494668"/>
        <n v="0.58361853832442068"/>
        <n v="0.43495092415551306"/>
        <n v="0.57213278008298762"/>
        <n v="0.42574521072796934"/>
        <n v="0.23350720497953617"/>
        <n v="0.21438468491735538"/>
        <n v="0.59597467482125932"/>
        <n v="0.50644063039723664"/>
        <n v="0.30187370331950208"/>
        <n v="0.32286811641242019"/>
        <n v="0.45628779979144946"/>
        <n v="0.38967521033065933"/>
        <n v="0.54817658600392416"/>
        <n v="0.53668441814595658"/>
        <n v="0.59520232354230607"/>
        <n v="0.2900245614035088"/>
        <n v="0.34785462942599515"/>
        <n v="0.20388887664955607"/>
        <n v="0.23944845452130017"/>
        <n v="0.416327820148989"/>
        <n v="0.51348920062346914"/>
        <n v="0.43606504065040647"/>
        <n v="0.25311113091524817"/>
        <n v="0.56991202346041059"/>
        <n v="0.40832996632996632"/>
        <n v="0.30440498134244481"/>
        <n v="0.4609173688502311"/>
        <n v="0.48051032005819239"/>
        <n v="0.57850420550125037"/>
        <n v="0.32070639925330663"/>
        <n v="0.44984680618246475"/>
        <n v="0.4421732561067741"/>
        <n v="0.23619428650036683"/>
        <n v="0.33124732961201847"/>
        <n v="0.42954980446284791"/>
        <n v="0.44547703505781544"/>
        <n v="0.46904322127816772"/>
        <n v="0.37067771953725726"/>
        <n v="0.38969020606621907"/>
        <n v="0.4379625509825732"/>
        <n v="0.29363887855681609"/>
        <n v="0.2769998835177635"/>
        <n v="0.59909114213138814"/>
        <n v="0.20009683365611217"/>
        <n v="0.539733448784255"/>
        <n v="0.40407290349768227"/>
        <n v="0.26322601069318075"/>
        <n v="0.20681536438767845"/>
        <n v="0.39635656180937606"/>
        <n v="0.37698405981097471"/>
        <n v="0.34237722084951172"/>
        <n v="0.38191428235017072"/>
        <n v="0.39337665094339619"/>
        <n v="0.53158131027602262"/>
        <n v="0.53548031496062987"/>
        <n v="0.24256715419175987"/>
        <n v="0.27995360960329035"/>
        <n v="0.40010314212554143"/>
        <n v="0.34778184690506964"/>
        <n v="0.57083483526782497"/>
        <n v="0.57425365382292548"/>
        <n v="0.58505780766253868"/>
        <n v="0.5441630995233"/>
        <n v="0.58150149930520001"/>
        <n v="0.56907711078574907"/>
        <n v="0.33917926565874729"/>
        <n v="0.44308630672539218"/>
        <n v="0.33359239940387481"/>
        <n v="0.37860597014925373"/>
        <n v="0.58048563032325551"/>
        <n v="0.42755829596412553"/>
        <n v="0.30800693197686013"/>
        <n v="0.56080309265494455"/>
        <n v="0.28718951150142208"/>
        <n v="0.39355606682004601"/>
        <n v="0.35115717790796658"/>
        <n v="0.35674518362432273"/>
        <n v="0.31387270765911546"/>
        <n v="0.25043097389558233"/>
        <n v="0.58805040454294188"/>
        <n v="0.35885653838404191"/>
        <n v="0.22524829157175397"/>
        <n v="0.55356176895948039"/>
        <n v="0.29112229043021981"/>
        <n v="0.41280436844668905"/>
        <n v="0.47103159136365969"/>
        <n v="0.51609089728606683"/>
        <n v="0.29845901126408009"/>
        <n v="0.40403482664995821"/>
        <n v="0.45755424836601311"/>
        <n v="0.30530406290956752"/>
        <n v="0.59540136590491199"/>
        <n v="0.58865332072299281"/>
        <n v="0.28378328499868177"/>
        <n v="0.43227709444121837"/>
        <n v="0.36775856132637652"/>
        <n v="0.44619088243135163"/>
        <n v="0.42173625553244815"/>
        <n v="0.45436076916887924"/>
        <n v="0.42977836213373405"/>
        <n v="0.47132877079978525"/>
        <n v="0.40193224625982132"/>
        <n v="0.20353101992204417"/>
        <n v="0.55201416015625004"/>
        <n v="0.45769130541002739"/>
        <n v="0.21111301183881828"/>
        <n v="0.41462940561939848"/>
        <n v="0.29282289143360496"/>
        <n v="0.39815645996255095"/>
        <n v="0.42848919466252394"/>
        <n v="0.37160781701088164"/>
        <n v="0.49720116618075805"/>
        <n v="0.33928265345873448"/>
        <n v="0.44084161585790249"/>
        <n v="0.20437479019805302"/>
        <n v="0.48010610079575594"/>
        <n v="0.3577300700090334"/>
        <n v="0.46135507553296623"/>
        <n v="0.34686064924782262"/>
        <n v="0.24959098639455782"/>
        <n v="0.22687088348853054"/>
        <n v="0.25926177742375967"/>
        <n v="0.33455805350028461"/>
        <n v="0.45843187514240141"/>
        <n v="0.58909975460822916"/>
        <n v="0.42990327380952381"/>
        <n v="0.5557712339743589"/>
        <n v="0.48299630404263244"/>
        <n v="0.53018230362884711"/>
        <n v="0.20866411884715957"/>
        <n v="0.2099370418283743"/>
        <n v="0.5066361937616789"/>
        <n v="0.29056668210233849"/>
        <n v="0.43547249565720902"/>
        <n v="0.52097764227642285"/>
        <n v="0.35615175438596491"/>
        <n v="0.37778314028314025"/>
        <n v="0.36616484613577638"/>
        <n v="0.21156364704155045"/>
        <n v="0.59486735294117654"/>
        <n v="0.27986663918982574"/>
        <n v="0.50604094859331272"/>
        <n v="0.45449083382613836"/>
        <n v="0.31193895977028507"/>
        <n v="0.47525906120023764"/>
        <n v="0.58092175105862709"/>
        <n v="0.58308595387840678"/>
        <n v="0.33295064763732307"/>
        <n v="0.53280471309627586"/>
        <n v="0.49056017097104326"/>
        <n v="0.39919748253432907"/>
        <n v="0.2311713313047932"/>
        <n v="0.36022028688524588"/>
        <n v="0.55501784202249915"/>
        <n v="0.40685568884042167"/>
        <n v="0.58886859323882224"/>
        <n v="0.5542984911170602"/>
        <n v="0.20172997321645969"/>
        <n v="0.41957275390624998"/>
        <n v="0.37519286019927867"/>
        <n v="0.34615033680342927"/>
        <n v="0.50449268682399206"/>
        <n v="0.46266135972461275"/>
        <n v="0.393340098400984"/>
        <n v="0.39683193897637792"/>
        <n v="0.22808573540280858"/>
        <n v="0.45535653676447901"/>
        <n v="0.27097582064663561"/>
        <n v="0.27115225191784209"/>
        <n v="0.59779711940529656"/>
        <n v="0.39512646457132228"/>
        <n v="0.3942928447420635"/>
        <n v="0.29004898313492061"/>
        <n v="0.43198491058122207"/>
        <n v="0.53125380836908542"/>
        <n v="0.26666573295985058"/>
        <n v="0.55246537741734247"/>
        <n v="0.52400968901390843"/>
        <n v="0.23142249335210385"/>
        <n v="0.48880464737567331"/>
        <n v="0.52529336175014096"/>
        <n v="0.30910723801761703"/>
        <n v="0.42465667797461998"/>
        <n v="0.32446706887883359"/>
        <n v="0.37362020279810038"/>
        <n v="0.369146529562982"/>
        <n v="0.21353402128345694"/>
        <n v="0.5415694067468011"/>
        <n v="0.2115374861824566"/>
        <n v="0.22974511718750001"/>
        <n v="0.3703274336283186"/>
        <n v="0.43695018026876437"/>
        <n v="0.31216361007033455"/>
        <n v="0.39592384149552395"/>
        <n v="0.22706998813760379"/>
        <n v="0.51629613748062142"/>
        <n v="0.46265183522577236"/>
        <n v="0.38215078264315439"/>
        <n v="0.55149204879822789"/>
        <n v="0.41576710103120135"/>
        <n v="0.5934024523975675"/>
        <n v="0.31710634762379525"/>
        <n v="0.55829417670682735"/>
        <n v="0.35665321495829971"/>
        <n v="0.30991472868217057"/>
        <n v="0.33163826910074379"/>
        <n v="0.52800378941670056"/>
        <n v="0.39992830445124022"/>
        <n v="0.59311754511163206"/>
        <n v="0.22573521358159912"/>
        <n v="0.57321306195175448"/>
        <n v="0.27153532235939642"/>
        <n v="0.23850788599889319"/>
        <n v="0.2409968135217512"/>
        <n v="0.46827349359975023"/>
        <n v="0.52787044759521828"/>
        <n v="0.41981261298845779"/>
        <n v="0.59281825795644894"/>
        <n v="0.30308500175623465"/>
        <n v="0.31707029046813312"/>
        <n v="0.34308817295464178"/>
        <n v="0.46447277227722777"/>
        <n v="0.38632222616093581"/>
        <n v="0.59960360232591126"/>
        <n v="0.50280904469015542"/>
        <n v="0.27469159544159544"/>
        <n v="0.35620548433048432"/>
        <n v="0.43621485297274099"/>
        <n v="0.20642118863049097"/>
        <n v="0.41808576576576573"/>
        <n v="0.4324267283437534"/>
        <n v="0.30972981770833335"/>
        <n v="0.42736592431649462"/>
        <n v="0.50836148771115786"/>
        <n v="0.36457064113722076"/>
        <n v="0.28039623737924024"/>
        <n v="0.33514083994468302"/>
        <n v="0.40407729398012859"/>
        <n v="0.44361208662569507"/>
        <n v="0.44913377754997436"/>
        <n v="0.38450381399442568"/>
        <n v="0.40074033311321444"/>
        <n v="0.40702717590892401"/>
        <n v="0.36482349909817058"/>
        <n v="0.39567363059205668"/>
        <n v="0.33243498817966904"/>
        <n v="0.54865724250519443"/>
        <n v="0.2481099235508053"/>
        <n v="0.25505199049316696"/>
        <n v="0.44315075639019302"/>
        <n v="0.34897080374253187"/>
        <n v="0.54540720961281708"/>
        <n v="0.54302574287678562"/>
        <n v="0.25597666857907825"/>
        <n v="0.39089199355185383"/>
        <n v="0.30087749615975423"/>
        <n v="0.58906627906976738"/>
        <n v="0.54741817899798351"/>
        <n v="0.59983797111659032"/>
        <n v="0.28557092476489032"/>
        <n v="0.45492729702114282"/>
        <n v="0.24123741859088219"/>
        <n v="0.3335268774703557"/>
        <n v="0.52193731177682678"/>
        <n v="0.29736981955185404"/>
        <n v="0.47159359224072822"/>
        <n v="0.39437848238265122"/>
        <n v="0.22825874238049404"/>
        <n v="0.38305525416917824"/>
        <n v="0.36481794068000961"/>
        <n v="0.24627122736418511"/>
        <n v="0.40007973261386059"/>
        <n v="0.37156967840735067"/>
        <n v="0.54156115078884726"/>
        <n v="0.29137998056365405"/>
        <n v="0.2721908241981324"/>
        <n v="0.44218854805725971"/>
        <n v="0.58568369769917306"/>
        <n v="0.44199555628703097"/>
        <n v="0.56493600032925873"/>
        <n v="0.30761267750565957"/>
        <n v="0.51650679291889667"/>
        <n v="0.42388549995878327"/>
        <n v="0.48551631557207769"/>
        <n v="0.48168983780205227"/>
        <n v="0.44930938538205983"/>
        <n v="0.30008663057059559"/>
        <n v="0.51641000000000004"/>
        <n v="0.49621537946615352"/>
        <n v="0.36544784248010054"/>
        <n v="0.24710588235294118"/>
        <n v="0.24583921667507144"/>
        <n v="0.46299936722210505"/>
        <n v="0.46139983093829245"/>
        <n v="0.4910790421699513"/>
        <n v="0.44864827000636809"/>
        <n v="0.56270870488322722"/>
        <n v="0.5077549801646547"/>
        <n v="0.38560819462227908"/>
        <n v="0.50769135273972599"/>
        <n v="0.32933233276157803"/>
        <n v="0.56890483351235233"/>
        <n v="0.52981300742788051"/>
        <n v="0.35127249134948096"/>
        <n v="0.54487554651313796"/>
        <n v="0.33211495148995146"/>
        <n v="0.38526242371403663"/>
        <n v="0.55832109450126766"/>
        <n v="0.50899150464179366"/>
        <n v="0.46923690554459785"/>
        <n v="0.27679904896090174"/>
        <n v="0.39178726035868894"/>
        <n v="0.26941262393767706"/>
        <n v="0.29977605971740873"/>
        <n v="0.24508286554397221"/>
        <n v="0.54709017857142861"/>
        <n v="0.32834071093226025"/>
        <n v="0.37669716459824254"/>
        <n v="0.23267835303709744"/>
        <n v="0.26450081610446136"/>
        <n v="0.23245092693565975"/>
        <n v="0.57272195834855677"/>
        <n v="0.27279058070416096"/>
        <n v="0.51504663923182437"/>
        <n v="0.30781667581914696"/>
        <n v="0.35176481413323518"/>
        <n v="0.33273635275706526"/>
        <n v="0.56604748732134624"/>
        <n v="0.44107266435986159"/>
        <n v="0.43428301015697135"/>
        <n v="0.47162788541763234"/>
        <n v="0.32393755219448822"/>
        <n v="0.21560572841349068"/>
        <n v="0.2079863977485929"/>
        <n v="0.30645462256149281"/>
        <n v="0.55617236467236464"/>
        <n v="0.31463260456273762"/>
        <n v="0.52114366412944613"/>
        <n v="0.3072435338564371"/>
        <n v="0.40125163604634251"/>
        <n v="0.38593919705197827"/>
        <n v="0.20469004656577416"/>
        <n v="0.33992749391727495"/>
        <n v="0.51073500778816205"/>
        <n v="0.58149282533399305"/>
        <n v="0.30205733808674989"/>
        <n v="0.50026704602176297"/>
        <n v="0.37265393100681909"/>
        <n v="0.21768174962292608"/>
        <n v="0.52152960112670388"/>
        <n v="0.42525260179852487"/>
        <n v="0.46249392835458408"/>
        <n v="0.59840980451737069"/>
        <n v="0.25101727642276422"/>
        <n v="0.57082088024564992"/>
        <n v="0.47835007688364944"/>
        <n v="0.59695618715370413"/>
        <n v="0.37258054570679822"/>
        <n v="0.44700311203319498"/>
        <n v="0.33319569959488937"/>
        <n v="0.41562929061784898"/>
        <n v="0.49616010006253908"/>
        <n v="0.56134542586750791"/>
        <n v="0.49907576400679116"/>
        <n v="0.38015425531914893"/>
        <n v="0.54283094525235243"/>
        <n v="0.36714147909967842"/>
        <n v="0.57885177228786244"/>
        <n v="0.57022932816537464"/>
        <n v="0.28887921712802767"/>
        <n v="0.27045397908879137"/>
        <n v="0.43521411535125759"/>
        <n v="0.29685278911564628"/>
        <n v="0.29657702776265649"/>
        <n v="0.41019083969465647"/>
        <n v="0.31935577449370556"/>
        <n v="0.53659195781147007"/>
        <n v="0.40807042879360139"/>
        <n v="0.25827346530249112"/>
        <n v="0.46995162366548043"/>
        <n v="0.24174121050289274"/>
        <n v="0.59753597322922469"/>
        <n v="0.35268948106591863"/>
        <n v="0.45784049773755653"/>
        <n v="0.42768224299065416"/>
        <n v="0.40317960063535285"/>
        <n v="0.51028062386156647"/>
        <n v="0.23154976276224776"/>
        <n v="0.39601064134103781"/>
        <n v="0.51698682703321874"/>
        <n v="0.3471082817159899"/>
        <n v="0.54445166531275391"/>
        <n v="0.21325874694873881"/>
        <n v="0.43742582897033161"/>
        <n v="0.56597905759162304"/>
        <n v="0.28271246998184268"/>
        <n v="0.2688906525573192"/>
        <n v="0.30258007536504949"/>
        <n v="0.52957362507392081"/>
        <n v="0.51828855485856318"/>
        <n v="0.44916637063351095"/>
        <n v="0.39020339184060721"/>
        <n v="0.57109345238095244"/>
        <n v="0.22787403006789525"/>
        <n v="0.29616572689384651"/>
        <n v="0.47371064928676831"/>
        <n v="0.41084102374800052"/>
        <n v="0.31332098765432098"/>
        <n v="0.54024922696351263"/>
        <n v="0.21479950495049505"/>
        <n v="0.3816139044072005"/>
        <n v="0.24040489113481814"/>
        <n v="0.5030796626054358"/>
        <n v="0.27354806113426799"/>
        <n v="0.26960612968591691"/>
        <n v="0.34406592705942363"/>
        <n v="0.45250127713920818"/>
        <n v="0.37887567152724483"/>
        <n v="0.40038318833162745"/>
        <n v="0.43405632537849625"/>
        <n v="0.3215477810171688"/>
        <n v="0.42781802864363944"/>
        <n v="0.34756811105345092"/>
        <n v="0.27308926715176718"/>
        <n v="0.2171128231914338"/>
        <n v="0.26447752404632602"/>
        <n v="0.34965704449152546"/>
        <n v="0.48059276468635914"/>
        <n v="0.53087287287287288"/>
        <n v="0.25625634178905204"/>
        <n v="0.3674182524792281"/>
        <n v="0.50194355054974527"/>
        <n v="0.34394803974221266"/>
        <n v="0.53250336927223718"/>
        <n v="0.56033706341132583"/>
        <n v="0.27815893051031487"/>
        <n v="0.49948873720136522"/>
        <n v="0.35111384615384617"/>
        <n v="0.40504386566141193"/>
        <n v="0.24763316858868753"/>
        <n v="0.55851928232625281"/>
        <n v="0.57494911991199116"/>
        <n v="0.26022933884297522"/>
        <n v="0.55584340260995646"/>
        <n v="0.51702288488210824"/>
        <n v="0.49826144611948631"/>
        <n v="0.55942919024662896"/>
        <n v="0.20184121621621623"/>
        <n v="0.45557735742518352"/>
        <n v="0.22180982679392011"/>
        <n v="0.23152235427277873"/>
        <n v="0.30918907444098498"/>
        <n v="0.38080537862703467"/>
        <n v="0.48604237770193398"/>
        <n v="0.37139031705227077"/>
        <n v="0.56893565242287603"/>
        <n v="0.24727436174038114"/>
        <n v="0.59959637383984465"/>
        <n v="0.57190778097982709"/>
        <n v="0.49757235547131295"/>
        <n v="0.48708248175182478"/>
        <n v="0.38482336558194075"/>
        <n v="0.5967842704887909"/>
        <n v="0.22135688005886681"/>
        <n v="0.45215479006505027"/>
        <n v="0.26192869320287598"/>
        <n v="0.50154177817424916"/>
        <n v="0.37554465015986316"/>
        <n v="0.50732497387669806"/>
        <n v="0.47132144729942316"/>
        <n v="0.33272972972972975"/>
        <n v="0.54240950226244344"/>
        <n v="0.2823703535468241"/>
        <n v="0.29173780719774783"/>
        <n v="0.33526788432267884"/>
        <n v="0.33913165905631654"/>
        <n v="0.49078830891330893"/>
        <n v="0.30741846153846153"/>
        <n v="0.28817691477885654"/>
        <n v="0.50520342117429495"/>
        <n v="0.53343203022592334"/>
        <n v="0.25544290123456792"/>
        <n v="0.31625562277028074"/>
        <n v="0.25263317520802553"/>
        <n v="0.25994862213918729"/>
        <n v="0.44061122790625246"/>
        <n v="0.50363039399624765"/>
        <n v="0.35921582452017237"/>
        <n v="0.21576711683417088"/>
        <n v="0.58005035405192762"/>
        <n v="0.32538358538122242"/>
        <n v="0.27907127089246292"/>
        <n v="0.4475782913938629"/>
        <n v="0.34747809614018471"/>
        <n v="0.28956793048973145"/>
        <n v="0.31617380952380952"/>
        <n v="0.29436532507739938"/>
        <n v="0.32178753180661579"/>
        <n v="0.31106459330143543"/>
        <n v="0.43954545454545457"/>
        <n v="0.53316739517565159"/>
        <n v="0.27378274394237068"/>
        <n v="0.4401664596273292"/>
        <n v="0.48958052994434759"/>
        <n v="0.36601775098383993"/>
        <n v="0.2675684787189212"/>
        <n v="0.34194070309191021"/>
        <n v="0.58287373865852621"/>
        <n v="0.56676200204290095"/>
        <n v="0.20198840381991814"/>
        <n v="0.5399520383693045"/>
        <n v="0.35986355785837654"/>
        <n v="0.55984522265456116"/>
        <n v="0.42490790616854907"/>
        <n v="0.55980347826086951"/>
        <n v="0.33970506351139729"/>
        <n v="0.23591072524774184"/>
        <n v="0.24998589065255733"/>
        <n v="0.20056457304163725"/>
        <n v="0.49722397476340691"/>
        <n v="0.48728747507703457"/>
        <n v="0.45716046002190575"/>
        <n v="0.51391678885630498"/>
        <n v="0.51938049853372426"/>
        <n v="0.25048357327427095"/>
        <n v="0.53536544850498347"/>
        <n v="0.31304008908685971"/>
        <n v="0.22946257554625754"/>
        <n v="0.26492977528089884"/>
        <n v="0.50773634404572288"/>
        <n v="0.44034243362416736"/>
        <n v="0.53869446792523712"/>
        <n v="0.48101691729323315"/>
        <n v="0.30923773584905662"/>
        <n v="0.23363083934675274"/>
        <n v="0.40144581776372523"/>
        <n v="0.23785193709244343"/>
        <n v="0.49650357073923956"/>
        <n v="0.28174277907884465"/>
        <n v="0.5472578740157481"/>
        <n v="0.33573919038707772"/>
        <n v="0.34732720261050132"/>
        <n v="0.32313466878222924"/>
        <n v="0.28222916666666664"/>
        <n v="0.59788455787060113"/>
        <n v="0.26667766446710656"/>
        <n v="0.21022991967871485"/>
        <n v="0.55635307194826189"/>
        <n v="0.56691194331983807"/>
        <n v="0.25523533007334964"/>
        <n v="0.36731471097971247"/>
        <n v="0.32783067158067158"/>
        <n v="0.41466194726582539"/>
        <n v="0.58784994861253848"/>
        <n v="0.33070030895983521"/>
        <n v="0.30072239422084623"/>
        <n v="0.50587719298245615"/>
        <n v="0.24674910920142529"/>
        <n v="0.45967023734509554"/>
        <n v="0.31597068438257936"/>
        <n v="0.50464421855146124"/>
        <n v="0.36830731394354149"/>
        <n v="0.20894036894036894"/>
        <n v="0.30954765751211633"/>
        <n v="0.34121898597626754"/>
        <n v="0.5952341895100367"/>
        <n v="0.53593110172245695"/>
        <n v="0.36390865173473869"/>
        <n v="0.42641424162257496"/>
        <n v="0.52502761210514692"/>
        <n v="0.42077467906153165"/>
        <n v="0.35422264234875445"/>
        <n v="0.56228236607142856"/>
        <n v="0.27789056393076494"/>
        <n v="0.39164355992844369"/>
        <n v="0.29120581655480987"/>
        <n v="0.53672849915682963"/>
        <n v="0.53932745563467843"/>
        <n v="0.20087477189781022"/>
        <n v="0.53060077963769769"/>
        <n v="0.26638908006423495"/>
        <n v="0.51078753736491145"/>
        <n v="0.32676789838337184"/>
        <n v="0.24541377716134999"/>
        <n v="0.4134192200557103"/>
        <n v="0.47862004662004665"/>
        <n v="0.20779219261337073"/>
        <n v="0.53546188970846509"/>
        <n v="0.57047871089155489"/>
        <n v="0.26604107648725211"/>
        <n v="0.38069166666666665"/>
        <n v="0.35496157540826129"/>
        <n v="0.39473513513513514"/>
        <n v="0.46968033775633294"/>
        <n v="0.37743223620522748"/>
        <n v="0.25895582329317268"/>
        <n v="0.27786262331019368"/>
        <n v="0.4401967012828345"/>
        <n v="0.54656894013738966"/>
        <n v="0.52909203364670954"/>
        <n v="0.28521592611083374"/>
        <n v="0.37312109862671661"/>
        <n v="0.50243734335839596"/>
        <n v="0.59506270378730874"/>
        <n v="0.35429612870789345"/>
        <n v="0.25964662977867203"/>
        <n v="0.25094810126582279"/>
        <n v="0.33089886203810254"/>
        <n v="0.28864795591439191"/>
        <n v="0.52952436194895591"/>
        <n v="0.56344818686282094"/>
        <n v="0.37972934472934472"/>
        <n v="0.21997789911596463"/>
        <n v="0.33314095744680849"/>
        <n v="0.23005479085928104"/>
        <n v="0.48400937081659978"/>
        <n v="0.39066126855600541"/>
        <n v="0.20010719131614654"/>
        <n v="0.2508047852093529"/>
        <n v="0.36170615468409584"/>
        <n v="0.41855000687852523"/>
        <n v="0.40598320022032497"/>
        <n v="0.39723893065998328"/>
        <n v="0.56175905292479111"/>
        <n v="0.22188870151770659"/>
        <n v="0.28989145756977724"/>
        <n v="0.44281497175141243"/>
        <n v="0.35440622788393489"/>
        <n v="0.2622457142857143"/>
        <n v="0.49208549222797932"/>
        <n v="0.37980713457076565"/>
        <n v="0.32220277169948941"/>
        <n v="0.32450214528776444"/>
        <n v="0.40457475380483437"/>
        <n v="0.37802694610778442"/>
        <n v="0.54623240491165015"/>
        <n v="0.55182805429864257"/>
        <n v="0.27292634776006075"/>
        <n v="0.24324200913242008"/>
        <n v="0.59154022636892012"/>
        <n v="0.292095015576324"/>
        <n v="0.28055312500000001"/>
        <n v="0.33404657016991818"/>
        <n v="0.40352083333333333"/>
        <n v="0.30097010074748132"/>
        <n v="0.27618329466357311"/>
        <n v="0.29946890756302519"/>
        <n v="0.25039327731092437"/>
        <n v="0.32627440904419319"/>
        <n v="0.21410602910602911"/>
        <n v="0.48769685381540062"/>
        <n v="0.49460160055671537"/>
        <n v="0.47237397523111807"/>
        <n v="0.59246851385390431"/>
        <n v="0.25727387387387385"/>
        <n v="0.42978189149560114"/>
        <n v="0.29997234513274335"/>
        <n v="0.41458703703703703"/>
        <n v="0.25829814814814817"/>
        <n v="0.38879650297619051"/>
        <n v="0.37828837386018238"/>
        <n v="0.2096175799086758"/>
        <n v="0.58182096403978578"/>
        <n v="0.58735541937954805"/>
        <n v="0.47494425221068814"/>
        <n v="0.47348443579766536"/>
        <n v="0.25127824019024969"/>
        <n v="0.29794424388287205"/>
        <n v="0.29225448679169186"/>
        <n v="0.50568742418115653"/>
        <n v="0.31401658031088087"/>
        <n v="0.45891353929089779"/>
        <n v="0.30667988313856426"/>
        <n v="0.5743301985370951"/>
        <n v="0.58380126849894298"/>
        <n v="0.2417066381156317"/>
        <n v="0.52667737789203084"/>
        <n v="0.52086169754416201"/>
        <n v="0.31735255854293148"/>
        <n v="0.22067796610169491"/>
        <n v="0.54323311546840958"/>
        <n v="0.59030880420499343"/>
        <n v="0.28589450549450546"/>
        <n v="0.52559608540925262"/>
        <n v="0.2141231593038822"/>
        <n v="0.23039202508960574"/>
        <n v="0.35149260421335721"/>
        <n v="0.53576151390788873"/>
        <n v="0.46012206356517732"/>
        <n v="0.56718186134852799"/>
        <n v="0.58304721030042927"/>
        <n v="0.29255515151515149"/>
        <n v="0.40474617439883409"/>
        <n v="0.42573726541554957"/>
        <n v="0.55528375733855184"/>
        <n v="0.50854166666666667"/>
        <n v="0.23264839034205231"/>
        <n v="0.21710553018772197"/>
        <n v="0.30521319796954316"/>
        <n v="0.2861383358856559"/>
        <n v="0.51133452868852458"/>
        <n v="0.37369262506446621"/>
        <n v="0.50000776799585711"/>
        <n v="0.36852101712506485"/>
        <n v="0.34407754358574028"/>
        <n v="0.32587971511474545"/>
        <n v="0.4349369127516779"/>
        <n v="0.27701664876476906"/>
        <n v="0.48090239912758997"/>
        <n v="0.20554098360655737"/>
        <n v="0.54754805052169142"/>
        <n v="0.25234083958854597"/>
        <n v="0.3217718309859155"/>
        <n v="0.33634549600912206"/>
        <n v="0.57159350057012548"/>
        <n v="0.40802113078241009"/>
        <n v="0.55236910616141166"/>
        <n v="0.59014842840512227"/>
        <n v="0.44406259140099447"/>
        <n v="0.56981775426219872"/>
        <n v="0.38775510204081631"/>
        <n v="0.30550120772946859"/>
        <n v="0.37142296072507558"/>
        <n v="0.54453431372549022"/>
        <n v="0.36508972772277226"/>
        <n v="0.36435590551181102"/>
        <n v="0.58540609137055843"/>
        <n v="0.44807716836734696"/>
        <n v="0.36332579185520364"/>
        <n v="0.5860311284046692"/>
        <n v="0.42088388780169605"/>
        <n v="0.3760557768924303"/>
        <n v="0.47438438438438441"/>
        <n v="0.54943475226796934"/>
        <n v="0.45610412299091541"/>
        <n v="0.31362772695285013"/>
        <n v="0.44760747004933049"/>
        <n v="0.50257040998217473"/>
        <n v="0.28443250984604368"/>
        <n v="0.52539568345323739"/>
        <n v="0.49804473304473301"/>
        <n v="0.34189081706435281"/>
        <n v="0.48884057971014494"/>
        <n v="0.54525571273122964"/>
        <n v="0.32556670382757341"/>
        <n v="0.243391660461653"/>
        <n v="0.3936966292134832"/>
        <n v="0.54674694189602446"/>
        <n v="0.20565017261219792"/>
        <n v="0.25583730158730161"/>
        <n v="0.35117106314948043"/>
        <n v="0.22330917874396136"/>
        <n v="0.35733525535420102"/>
        <n v="0.5977503090234858"/>
        <n v="0.50622107969151675"/>
        <n v="0.46241810344827583"/>
        <n v="0.570666961130742"/>
        <n v="0.54300361336946701"/>
        <n v="0.25719202898550725"/>
        <n v="0.5301565377532228"/>
        <n v="0.53436160298229263"/>
        <n v="0.51868075117370893"/>
        <n v="0.40484948259642523"/>
        <n v="0.31848914069877238"/>
        <n v="0.46751779781680114"/>
        <n v="0.2966730038022814"/>
        <n v="0.45913498098859312"/>
        <n v="0.28185361216730037"/>
        <n v="0.43981518481518483"/>
        <n v="0.55326787512588116"/>
        <n v="0.2709109730848861"/>
        <n v="0.28325250395361101"/>
        <n v="0.34084153005464479"/>
        <n v="0.5216922234392114"/>
        <n v="0.5828316610925306"/>
        <n v="0.59489265536723168"/>
        <n v="0.21858192090395479"/>
        <n v="0.3483768444948922"/>
        <n v="0.57526195899772203"/>
        <n v="0.59631908831908831"/>
        <n v="0.53465721040189129"/>
        <n v="0.31456707317073168"/>
        <n v="0.24960000000000002"/>
        <n v="0.54373749999999998"/>
        <n v="0.36479772439949432"/>
        <n v="0.25435089974293057"/>
        <n v="0.52254863813229568"/>
        <n v="0.35184175531914891"/>
        <n v="0.3116279069767442"/>
        <n v="0.24163571428571429"/>
        <n v="0.28902737752161384"/>
        <n v="0.58751510574018129"/>
        <n v="0.20078841512469833"/>
        <n v="0.24560483870967742"/>
        <n v="0.5864041095890411"/>
        <n v="0.34259067357512957"/>
        <n v="0.55560846560846555"/>
        <n v="0.40225952813067151"/>
        <n v="0.56748975409836067"/>
        <n v="0.51197228144989337"/>
        <n v="0.23553304904051173"/>
        <n v="0.36310112359550567"/>
        <n v="0.38685049019607848"/>
        <n v="0.23223618090452264"/>
        <n v="0.50570247933884294"/>
        <n v="0.39660028449502133"/>
        <n v="0.51565413533834592"/>
        <n v="0.45992740471869326"/>
        <n v="0.37886178861788616"/>
        <n v="0.28328326180257507"/>
        <n v="0.35002915451895045"/>
      </sharedItems>
    </cacheField>
    <cacheField name="Classificação" numFmtId="49">
      <sharedItems/>
    </cacheField>
    <cacheField name="Dias (Data_Transacao)" numFmtId="0" databaseField="0">
      <fieldGroup base="1">
        <rangePr groupBy="days" startDate="2025-01-01T00:00:00" endDate="2025-07-01T00:00:00"/>
        <groupItems count="368">
          <s v="&lt;01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7/2025"/>
        </groupItems>
      </fieldGroup>
    </cacheField>
    <cacheField name="Meses (Data_Transacao)" numFmtId="0" databaseField="0">
      <fieldGroup base="1">
        <rangePr groupBy="months" startDate="2025-01-01T00:00:00" endDate="2025-07-01T00:00:00"/>
        <groupItems count="14">
          <s v="&lt;01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7/2025"/>
        </groupItems>
      </fieldGroup>
    </cacheField>
    <cacheField name="Margem Total" numFmtId="0" formula="Lucro/Receita" databaseField="0"/>
  </cacheFields>
  <extLst>
    <ext xmlns:x14="http://schemas.microsoft.com/office/spreadsheetml/2009/9/main" uri="{725AE2AE-9491-48be-B2B4-4EB974FC3084}">
      <x14:pivotCacheDefinition pivotCacheId="1593463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993"/>
    <x v="0"/>
    <x v="0"/>
    <x v="0"/>
    <x v="0"/>
    <n v="7344"/>
    <x v="0"/>
    <x v="0"/>
    <x v="0"/>
    <n v="4964"/>
    <n v="99280"/>
    <n v="65015.92"/>
    <n v="34264.080000000002"/>
    <x v="0"/>
    <x v="0"/>
    <x v="0"/>
    <x v="0"/>
    <s v="Média"/>
  </r>
  <r>
    <n v="373"/>
    <x v="1"/>
    <x v="1"/>
    <x v="1"/>
    <x v="1"/>
    <n v="4533"/>
    <x v="1"/>
    <x v="1"/>
    <x v="0"/>
    <n v="4932"/>
    <n v="98640"/>
    <n v="62797.1"/>
    <n v="35842.9"/>
    <x v="1"/>
    <x v="1"/>
    <x v="1"/>
    <x v="1"/>
    <s v="Média"/>
  </r>
  <r>
    <n v="968"/>
    <x v="2"/>
    <x v="2"/>
    <x v="2"/>
    <x v="2"/>
    <n v="6868"/>
    <x v="0"/>
    <x v="1"/>
    <x v="0"/>
    <n v="4910"/>
    <n v="98200"/>
    <n v="53167.75"/>
    <n v="45032.25"/>
    <x v="1"/>
    <x v="2"/>
    <x v="2"/>
    <x v="2"/>
    <s v="Alta"/>
  </r>
  <r>
    <n v="206"/>
    <x v="3"/>
    <x v="0"/>
    <x v="3"/>
    <x v="2"/>
    <n v="7473"/>
    <x v="0"/>
    <x v="1"/>
    <x v="0"/>
    <n v="4829"/>
    <n v="96580"/>
    <n v="74706.7"/>
    <n v="21873.3"/>
    <x v="2"/>
    <x v="2"/>
    <x v="3"/>
    <x v="3"/>
    <s v="Média"/>
  </r>
  <r>
    <n v="11"/>
    <x v="4"/>
    <x v="0"/>
    <x v="2"/>
    <x v="0"/>
    <n v="4313"/>
    <x v="2"/>
    <x v="0"/>
    <x v="0"/>
    <n v="4712"/>
    <n v="94240"/>
    <n v="45954.94"/>
    <n v="48285.06"/>
    <x v="2"/>
    <x v="0"/>
    <x v="0"/>
    <x v="4"/>
    <s v="Alta"/>
  </r>
  <r>
    <n v="200"/>
    <x v="5"/>
    <x v="3"/>
    <x v="2"/>
    <x v="3"/>
    <n v="2245"/>
    <x v="1"/>
    <x v="2"/>
    <x v="0"/>
    <n v="4708"/>
    <n v="94160"/>
    <n v="44003.31"/>
    <n v="50156.69"/>
    <x v="1"/>
    <x v="1"/>
    <x v="1"/>
    <x v="5"/>
    <s v="Alta"/>
  </r>
  <r>
    <n v="376"/>
    <x v="6"/>
    <x v="3"/>
    <x v="2"/>
    <x v="3"/>
    <n v="2803"/>
    <x v="2"/>
    <x v="1"/>
    <x v="1"/>
    <n v="4919"/>
    <n v="93461"/>
    <n v="73729.740000000005"/>
    <n v="19731.259999999998"/>
    <x v="0"/>
    <x v="2"/>
    <x v="2"/>
    <x v="6"/>
    <s v="Média"/>
  </r>
  <r>
    <n v="344"/>
    <x v="7"/>
    <x v="1"/>
    <x v="3"/>
    <x v="0"/>
    <n v="4938"/>
    <x v="2"/>
    <x v="3"/>
    <x v="1"/>
    <n v="4804"/>
    <n v="91276"/>
    <n v="41160.89"/>
    <n v="50115.11"/>
    <x v="1"/>
    <x v="2"/>
    <x v="2"/>
    <x v="7"/>
    <s v="Alta"/>
  </r>
  <r>
    <n v="523"/>
    <x v="8"/>
    <x v="0"/>
    <x v="0"/>
    <x v="1"/>
    <n v="1775"/>
    <x v="2"/>
    <x v="1"/>
    <x v="0"/>
    <n v="4548"/>
    <n v="90960"/>
    <n v="37786.67"/>
    <n v="53173.33"/>
    <x v="1"/>
    <x v="1"/>
    <x v="4"/>
    <x v="8"/>
    <s v="Alta"/>
  </r>
  <r>
    <n v="9"/>
    <x v="9"/>
    <x v="2"/>
    <x v="2"/>
    <x v="0"/>
    <n v="6141"/>
    <x v="1"/>
    <x v="0"/>
    <x v="2"/>
    <n v="4922"/>
    <n v="88596"/>
    <n v="50805.81"/>
    <n v="37790.19"/>
    <x v="2"/>
    <x v="1"/>
    <x v="3"/>
    <x v="9"/>
    <s v="Alta"/>
  </r>
  <r>
    <n v="120"/>
    <x v="10"/>
    <x v="3"/>
    <x v="2"/>
    <x v="3"/>
    <n v="4853"/>
    <x v="1"/>
    <x v="3"/>
    <x v="2"/>
    <n v="4777"/>
    <n v="85986"/>
    <n v="34912.44"/>
    <n v="51073.56"/>
    <x v="0"/>
    <x v="0"/>
    <x v="0"/>
    <x v="10"/>
    <s v="Alta"/>
  </r>
  <r>
    <n v="77"/>
    <x v="11"/>
    <x v="2"/>
    <x v="0"/>
    <x v="3"/>
    <n v="5461"/>
    <x v="1"/>
    <x v="3"/>
    <x v="1"/>
    <n v="4524"/>
    <n v="85956"/>
    <n v="44074.98"/>
    <n v="41881.019999999997"/>
    <x v="1"/>
    <x v="2"/>
    <x v="2"/>
    <x v="11"/>
    <s v="Alta"/>
  </r>
  <r>
    <n v="354"/>
    <x v="7"/>
    <x v="0"/>
    <x v="4"/>
    <x v="2"/>
    <n v="7638"/>
    <x v="2"/>
    <x v="1"/>
    <x v="2"/>
    <n v="4758"/>
    <n v="85644"/>
    <n v="38816.54"/>
    <n v="46827.46"/>
    <x v="0"/>
    <x v="1"/>
    <x v="0"/>
    <x v="12"/>
    <s v="Alta"/>
  </r>
  <r>
    <n v="95"/>
    <x v="12"/>
    <x v="2"/>
    <x v="3"/>
    <x v="0"/>
    <n v="3058"/>
    <x v="1"/>
    <x v="1"/>
    <x v="3"/>
    <n v="4935"/>
    <n v="83895"/>
    <n v="48728.32"/>
    <n v="35166.68"/>
    <x v="2"/>
    <x v="0"/>
    <x v="0"/>
    <x v="13"/>
    <s v="Alta"/>
  </r>
  <r>
    <n v="923"/>
    <x v="13"/>
    <x v="3"/>
    <x v="0"/>
    <x v="1"/>
    <n v="4677"/>
    <x v="1"/>
    <x v="2"/>
    <x v="0"/>
    <n v="4175"/>
    <n v="83500"/>
    <n v="44838.74"/>
    <n v="38661.26"/>
    <x v="2"/>
    <x v="2"/>
    <x v="4"/>
    <x v="14"/>
    <s v="Alta"/>
  </r>
  <r>
    <n v="531"/>
    <x v="14"/>
    <x v="3"/>
    <x v="1"/>
    <x v="3"/>
    <n v="4273"/>
    <x v="0"/>
    <x v="4"/>
    <x v="3"/>
    <n v="4905"/>
    <n v="83385"/>
    <n v="43844.74"/>
    <n v="39540.26"/>
    <x v="2"/>
    <x v="1"/>
    <x v="1"/>
    <x v="15"/>
    <s v="Alta"/>
  </r>
  <r>
    <n v="486"/>
    <x v="15"/>
    <x v="0"/>
    <x v="4"/>
    <x v="3"/>
    <n v="1929"/>
    <x v="1"/>
    <x v="3"/>
    <x v="0"/>
    <n v="4156"/>
    <n v="83120"/>
    <n v="56472.61"/>
    <n v="26647.39"/>
    <x v="2"/>
    <x v="0"/>
    <x v="1"/>
    <x v="16"/>
    <s v="Média"/>
  </r>
  <r>
    <n v="679"/>
    <x v="11"/>
    <x v="1"/>
    <x v="4"/>
    <x v="3"/>
    <n v="3843"/>
    <x v="0"/>
    <x v="1"/>
    <x v="0"/>
    <n v="4151"/>
    <n v="83020"/>
    <n v="63792.18"/>
    <n v="19227.82"/>
    <x v="2"/>
    <x v="1"/>
    <x v="0"/>
    <x v="17"/>
    <s v="Média"/>
  </r>
  <r>
    <n v="162"/>
    <x v="16"/>
    <x v="3"/>
    <x v="1"/>
    <x v="2"/>
    <n v="3068"/>
    <x v="2"/>
    <x v="0"/>
    <x v="0"/>
    <n v="4133"/>
    <n v="82660"/>
    <n v="33885.4"/>
    <n v="48774.6"/>
    <x v="2"/>
    <x v="1"/>
    <x v="3"/>
    <x v="18"/>
    <s v="Alta"/>
  </r>
  <r>
    <n v="592"/>
    <x v="17"/>
    <x v="0"/>
    <x v="3"/>
    <x v="3"/>
    <n v="9102"/>
    <x v="1"/>
    <x v="0"/>
    <x v="3"/>
    <n v="4778"/>
    <n v="81226"/>
    <n v="48855.59"/>
    <n v="32370.41"/>
    <x v="1"/>
    <x v="1"/>
    <x v="4"/>
    <x v="19"/>
    <s v="Média"/>
  </r>
  <r>
    <n v="594"/>
    <x v="18"/>
    <x v="3"/>
    <x v="3"/>
    <x v="3"/>
    <n v="3865"/>
    <x v="1"/>
    <x v="1"/>
    <x v="1"/>
    <n v="4274"/>
    <n v="81206"/>
    <n v="38402.550000000003"/>
    <n v="42803.45"/>
    <x v="0"/>
    <x v="1"/>
    <x v="1"/>
    <x v="20"/>
    <s v="Alta"/>
  </r>
  <r>
    <n v="622"/>
    <x v="19"/>
    <x v="2"/>
    <x v="2"/>
    <x v="3"/>
    <n v="4356"/>
    <x v="1"/>
    <x v="4"/>
    <x v="1"/>
    <n v="4269"/>
    <n v="81111"/>
    <n v="45816.02"/>
    <n v="35294.980000000003"/>
    <x v="0"/>
    <x v="1"/>
    <x v="4"/>
    <x v="21"/>
    <s v="Alta"/>
  </r>
  <r>
    <n v="488"/>
    <x v="20"/>
    <x v="0"/>
    <x v="3"/>
    <x v="1"/>
    <n v="9884"/>
    <x v="1"/>
    <x v="3"/>
    <x v="2"/>
    <n v="4494"/>
    <n v="80892"/>
    <n v="63674.04"/>
    <n v="17217.96"/>
    <x v="2"/>
    <x v="1"/>
    <x v="1"/>
    <x v="22"/>
    <s v="Média"/>
  </r>
  <r>
    <n v="672"/>
    <x v="21"/>
    <x v="1"/>
    <x v="1"/>
    <x v="3"/>
    <n v="6136"/>
    <x v="2"/>
    <x v="3"/>
    <x v="1"/>
    <n v="4218"/>
    <n v="80142"/>
    <n v="47705.86"/>
    <n v="32436.14"/>
    <x v="0"/>
    <x v="2"/>
    <x v="0"/>
    <x v="23"/>
    <s v="Alta"/>
  </r>
  <r>
    <n v="729"/>
    <x v="22"/>
    <x v="1"/>
    <x v="1"/>
    <x v="2"/>
    <n v="1783"/>
    <x v="0"/>
    <x v="0"/>
    <x v="1"/>
    <n v="4186"/>
    <n v="79534"/>
    <n v="37023.33"/>
    <n v="42510.67"/>
    <x v="1"/>
    <x v="0"/>
    <x v="0"/>
    <x v="24"/>
    <s v="Alta"/>
  </r>
  <r>
    <n v="684"/>
    <x v="23"/>
    <x v="0"/>
    <x v="4"/>
    <x v="3"/>
    <n v="1184"/>
    <x v="0"/>
    <x v="1"/>
    <x v="4"/>
    <n v="4936"/>
    <n v="78976"/>
    <n v="32446.5"/>
    <n v="46529.5"/>
    <x v="1"/>
    <x v="2"/>
    <x v="3"/>
    <x v="25"/>
    <s v="Alta"/>
  </r>
  <r>
    <n v="149"/>
    <x v="24"/>
    <x v="3"/>
    <x v="0"/>
    <x v="2"/>
    <n v="2759"/>
    <x v="1"/>
    <x v="4"/>
    <x v="1"/>
    <n v="4127"/>
    <n v="78413"/>
    <n v="62595.94"/>
    <n v="15817.06"/>
    <x v="1"/>
    <x v="2"/>
    <x v="2"/>
    <x v="26"/>
    <s v="Média"/>
  </r>
  <r>
    <n v="471"/>
    <x v="25"/>
    <x v="1"/>
    <x v="3"/>
    <x v="3"/>
    <n v="5972"/>
    <x v="0"/>
    <x v="2"/>
    <x v="0"/>
    <n v="3889"/>
    <n v="77780"/>
    <n v="41712.93"/>
    <n v="36067.07"/>
    <x v="0"/>
    <x v="1"/>
    <x v="1"/>
    <x v="27"/>
    <s v="Alta"/>
  </r>
  <r>
    <n v="337"/>
    <x v="26"/>
    <x v="1"/>
    <x v="3"/>
    <x v="2"/>
    <n v="9875"/>
    <x v="0"/>
    <x v="4"/>
    <x v="2"/>
    <n v="4281"/>
    <n v="77058"/>
    <n v="48612.33"/>
    <n v="28445.67"/>
    <x v="0"/>
    <x v="1"/>
    <x v="1"/>
    <x v="28"/>
    <s v="Média"/>
  </r>
  <r>
    <n v="647"/>
    <x v="27"/>
    <x v="1"/>
    <x v="3"/>
    <x v="0"/>
    <n v="4563"/>
    <x v="2"/>
    <x v="1"/>
    <x v="3"/>
    <n v="4530"/>
    <n v="77010"/>
    <n v="42122.66"/>
    <n v="34887.339999999997"/>
    <x v="0"/>
    <x v="2"/>
    <x v="3"/>
    <x v="29"/>
    <s v="Alta"/>
  </r>
  <r>
    <n v="131"/>
    <x v="28"/>
    <x v="2"/>
    <x v="4"/>
    <x v="0"/>
    <n v="8280"/>
    <x v="1"/>
    <x v="0"/>
    <x v="0"/>
    <n v="3848"/>
    <n v="76960"/>
    <n v="50476.87"/>
    <n v="26483.13"/>
    <x v="1"/>
    <x v="0"/>
    <x v="0"/>
    <x v="30"/>
    <s v="Média"/>
  </r>
  <r>
    <n v="64"/>
    <x v="29"/>
    <x v="2"/>
    <x v="3"/>
    <x v="3"/>
    <n v="6317"/>
    <x v="0"/>
    <x v="2"/>
    <x v="3"/>
    <n v="4508"/>
    <n v="76636"/>
    <n v="34314.6"/>
    <n v="42321.4"/>
    <x v="2"/>
    <x v="2"/>
    <x v="2"/>
    <x v="31"/>
    <s v="Alta"/>
  </r>
  <r>
    <n v="830"/>
    <x v="30"/>
    <x v="1"/>
    <x v="4"/>
    <x v="3"/>
    <n v="1223"/>
    <x v="0"/>
    <x v="3"/>
    <x v="1"/>
    <n v="4010"/>
    <n v="76190"/>
    <n v="54008.03"/>
    <n v="22181.97"/>
    <x v="2"/>
    <x v="1"/>
    <x v="2"/>
    <x v="32"/>
    <s v="Média"/>
  </r>
  <r>
    <n v="754"/>
    <x v="31"/>
    <x v="0"/>
    <x v="0"/>
    <x v="1"/>
    <n v="2115"/>
    <x v="0"/>
    <x v="3"/>
    <x v="0"/>
    <n v="3769"/>
    <n v="75380"/>
    <n v="34284.18"/>
    <n v="41095.82"/>
    <x v="2"/>
    <x v="0"/>
    <x v="2"/>
    <x v="33"/>
    <s v="Alta"/>
  </r>
  <r>
    <n v="882"/>
    <x v="32"/>
    <x v="1"/>
    <x v="4"/>
    <x v="2"/>
    <n v="7374"/>
    <x v="2"/>
    <x v="4"/>
    <x v="3"/>
    <n v="4428"/>
    <n v="75276"/>
    <n v="42147.78"/>
    <n v="33128.22"/>
    <x v="1"/>
    <x v="0"/>
    <x v="2"/>
    <x v="34"/>
    <s v="Alta"/>
  </r>
  <r>
    <n v="100"/>
    <x v="33"/>
    <x v="2"/>
    <x v="0"/>
    <x v="3"/>
    <n v="9758"/>
    <x v="1"/>
    <x v="0"/>
    <x v="4"/>
    <n v="4699"/>
    <n v="75184"/>
    <n v="54426.09"/>
    <n v="20757.91"/>
    <x v="0"/>
    <x v="1"/>
    <x v="0"/>
    <x v="35"/>
    <s v="Média"/>
  </r>
  <r>
    <n v="746"/>
    <x v="27"/>
    <x v="2"/>
    <x v="2"/>
    <x v="1"/>
    <n v="4121"/>
    <x v="0"/>
    <x v="3"/>
    <x v="3"/>
    <n v="4388"/>
    <n v="74596"/>
    <n v="56869.52"/>
    <n v="17726.48"/>
    <x v="2"/>
    <x v="2"/>
    <x v="1"/>
    <x v="36"/>
    <s v="Média"/>
  </r>
  <r>
    <n v="480"/>
    <x v="34"/>
    <x v="0"/>
    <x v="3"/>
    <x v="0"/>
    <n v="6789"/>
    <x v="2"/>
    <x v="3"/>
    <x v="2"/>
    <n v="4140"/>
    <n v="74520"/>
    <n v="43463.56"/>
    <n v="31056.44"/>
    <x v="0"/>
    <x v="1"/>
    <x v="3"/>
    <x v="37"/>
    <s v="Alta"/>
  </r>
  <r>
    <n v="767"/>
    <x v="23"/>
    <x v="1"/>
    <x v="0"/>
    <x v="1"/>
    <n v="2348"/>
    <x v="2"/>
    <x v="4"/>
    <x v="3"/>
    <n v="4362"/>
    <n v="74154"/>
    <n v="49726.73"/>
    <n v="24427.27"/>
    <x v="1"/>
    <x v="2"/>
    <x v="1"/>
    <x v="38"/>
    <s v="Média"/>
  </r>
  <r>
    <n v="707"/>
    <x v="35"/>
    <x v="3"/>
    <x v="0"/>
    <x v="0"/>
    <n v="2375"/>
    <x v="1"/>
    <x v="2"/>
    <x v="0"/>
    <n v="3703"/>
    <n v="74060"/>
    <n v="41338.71"/>
    <n v="32721.29"/>
    <x v="0"/>
    <x v="2"/>
    <x v="0"/>
    <x v="39"/>
    <s v="Alta"/>
  </r>
  <r>
    <n v="192"/>
    <x v="36"/>
    <x v="0"/>
    <x v="3"/>
    <x v="1"/>
    <n v="3053"/>
    <x v="2"/>
    <x v="1"/>
    <x v="5"/>
    <n v="4931"/>
    <n v="73965"/>
    <n v="45204.12"/>
    <n v="28760.880000000001"/>
    <x v="1"/>
    <x v="1"/>
    <x v="3"/>
    <x v="40"/>
    <s v="Média"/>
  </r>
  <r>
    <n v="564"/>
    <x v="37"/>
    <x v="2"/>
    <x v="2"/>
    <x v="2"/>
    <n v="2624"/>
    <x v="2"/>
    <x v="3"/>
    <x v="4"/>
    <n v="4615"/>
    <n v="73840"/>
    <n v="51958.19"/>
    <n v="21881.81"/>
    <x v="2"/>
    <x v="1"/>
    <x v="4"/>
    <x v="41"/>
    <s v="Média"/>
  </r>
  <r>
    <n v="683"/>
    <x v="38"/>
    <x v="2"/>
    <x v="4"/>
    <x v="1"/>
    <n v="6589"/>
    <x v="0"/>
    <x v="2"/>
    <x v="0"/>
    <n v="3691"/>
    <n v="73820"/>
    <n v="46469.48"/>
    <n v="27350.52"/>
    <x v="2"/>
    <x v="2"/>
    <x v="1"/>
    <x v="42"/>
    <s v="Média"/>
  </r>
  <r>
    <n v="610"/>
    <x v="39"/>
    <x v="3"/>
    <x v="2"/>
    <x v="2"/>
    <n v="6505"/>
    <x v="2"/>
    <x v="2"/>
    <x v="2"/>
    <n v="4072"/>
    <n v="73296"/>
    <n v="39408.54"/>
    <n v="33887.46"/>
    <x v="0"/>
    <x v="0"/>
    <x v="4"/>
    <x v="43"/>
    <s v="Alta"/>
  </r>
  <r>
    <n v="962"/>
    <x v="15"/>
    <x v="3"/>
    <x v="0"/>
    <x v="0"/>
    <n v="6031"/>
    <x v="2"/>
    <x v="2"/>
    <x v="0"/>
    <n v="3662"/>
    <n v="73240"/>
    <n v="48713.25"/>
    <n v="24526.75"/>
    <x v="2"/>
    <x v="2"/>
    <x v="3"/>
    <x v="44"/>
    <s v="Média"/>
  </r>
  <r>
    <n v="551"/>
    <x v="40"/>
    <x v="3"/>
    <x v="1"/>
    <x v="1"/>
    <n v="3618"/>
    <x v="1"/>
    <x v="0"/>
    <x v="1"/>
    <n v="3854"/>
    <n v="73226"/>
    <n v="48578.03"/>
    <n v="24647.97"/>
    <x v="2"/>
    <x v="0"/>
    <x v="4"/>
    <x v="45"/>
    <s v="Média"/>
  </r>
  <r>
    <n v="940"/>
    <x v="16"/>
    <x v="2"/>
    <x v="4"/>
    <x v="1"/>
    <n v="8699"/>
    <x v="0"/>
    <x v="2"/>
    <x v="1"/>
    <n v="3848"/>
    <n v="73112"/>
    <n v="48560.09"/>
    <n v="24551.91"/>
    <x v="2"/>
    <x v="1"/>
    <x v="4"/>
    <x v="46"/>
    <s v="Média"/>
  </r>
  <r>
    <n v="584"/>
    <x v="31"/>
    <x v="0"/>
    <x v="1"/>
    <x v="2"/>
    <n v="8189"/>
    <x v="1"/>
    <x v="3"/>
    <x v="0"/>
    <n v="3631"/>
    <n v="72620"/>
    <n v="46719.39"/>
    <n v="25900.61"/>
    <x v="1"/>
    <x v="1"/>
    <x v="3"/>
    <x v="47"/>
    <s v="Média"/>
  </r>
  <r>
    <n v="902"/>
    <x v="9"/>
    <x v="1"/>
    <x v="4"/>
    <x v="2"/>
    <n v="4430"/>
    <x v="1"/>
    <x v="1"/>
    <x v="3"/>
    <n v="4240"/>
    <n v="72080"/>
    <n v="32321.08"/>
    <n v="39758.92"/>
    <x v="1"/>
    <x v="1"/>
    <x v="0"/>
    <x v="48"/>
    <s v="Alta"/>
  </r>
  <r>
    <n v="795"/>
    <x v="41"/>
    <x v="3"/>
    <x v="4"/>
    <x v="2"/>
    <n v="1177"/>
    <x v="1"/>
    <x v="2"/>
    <x v="5"/>
    <n v="4804"/>
    <n v="72060"/>
    <n v="31597.99"/>
    <n v="40462.01"/>
    <x v="0"/>
    <x v="1"/>
    <x v="1"/>
    <x v="49"/>
    <s v="Alta"/>
  </r>
  <r>
    <n v="336"/>
    <x v="42"/>
    <x v="1"/>
    <x v="1"/>
    <x v="3"/>
    <n v="5215"/>
    <x v="0"/>
    <x v="0"/>
    <x v="0"/>
    <n v="3599"/>
    <n v="71980"/>
    <n v="55245.78"/>
    <n v="16734.22"/>
    <x v="1"/>
    <x v="0"/>
    <x v="4"/>
    <x v="50"/>
    <s v="Média"/>
  </r>
  <r>
    <n v="280"/>
    <x v="24"/>
    <x v="0"/>
    <x v="3"/>
    <x v="2"/>
    <n v="3606"/>
    <x v="0"/>
    <x v="3"/>
    <x v="1"/>
    <n v="3743"/>
    <n v="71117"/>
    <n v="30256.06"/>
    <n v="40860.94"/>
    <x v="0"/>
    <x v="2"/>
    <x v="2"/>
    <x v="51"/>
    <s v="Alta"/>
  </r>
  <r>
    <n v="366"/>
    <x v="43"/>
    <x v="1"/>
    <x v="0"/>
    <x v="2"/>
    <n v="2559"/>
    <x v="2"/>
    <x v="4"/>
    <x v="2"/>
    <n v="3936"/>
    <n v="70848"/>
    <n v="42207.99"/>
    <n v="28640.01"/>
    <x v="2"/>
    <x v="0"/>
    <x v="1"/>
    <x v="52"/>
    <s v="Alta"/>
  </r>
  <r>
    <n v="266"/>
    <x v="44"/>
    <x v="2"/>
    <x v="3"/>
    <x v="1"/>
    <n v="4479"/>
    <x v="0"/>
    <x v="2"/>
    <x v="2"/>
    <n v="3926"/>
    <n v="70668"/>
    <n v="49427.93"/>
    <n v="21240.07"/>
    <x v="1"/>
    <x v="2"/>
    <x v="1"/>
    <x v="53"/>
    <s v="Média"/>
  </r>
  <r>
    <n v="703"/>
    <x v="45"/>
    <x v="2"/>
    <x v="4"/>
    <x v="0"/>
    <n v="3923"/>
    <x v="1"/>
    <x v="3"/>
    <x v="4"/>
    <n v="4406"/>
    <n v="70496"/>
    <n v="39438.620000000003"/>
    <n v="31057.38"/>
    <x v="0"/>
    <x v="1"/>
    <x v="4"/>
    <x v="54"/>
    <s v="Alta"/>
  </r>
  <r>
    <n v="276"/>
    <x v="46"/>
    <x v="0"/>
    <x v="2"/>
    <x v="1"/>
    <n v="1207"/>
    <x v="0"/>
    <x v="3"/>
    <x v="2"/>
    <n v="3914"/>
    <n v="70452"/>
    <n v="34000.58"/>
    <n v="36451.42"/>
    <x v="1"/>
    <x v="1"/>
    <x v="1"/>
    <x v="55"/>
    <s v="Alta"/>
  </r>
  <r>
    <n v="126"/>
    <x v="47"/>
    <x v="1"/>
    <x v="0"/>
    <x v="2"/>
    <n v="8932"/>
    <x v="0"/>
    <x v="2"/>
    <x v="1"/>
    <n v="3676"/>
    <n v="69844"/>
    <n v="36555.67"/>
    <n v="33288.33"/>
    <x v="0"/>
    <x v="2"/>
    <x v="0"/>
    <x v="56"/>
    <s v="Alta"/>
  </r>
  <r>
    <n v="620"/>
    <x v="48"/>
    <x v="1"/>
    <x v="3"/>
    <x v="1"/>
    <n v="7468"/>
    <x v="2"/>
    <x v="1"/>
    <x v="6"/>
    <n v="4981"/>
    <n v="69734"/>
    <n v="46696"/>
    <n v="23038"/>
    <x v="2"/>
    <x v="1"/>
    <x v="0"/>
    <x v="57"/>
    <s v="Média"/>
  </r>
  <r>
    <n v="632"/>
    <x v="49"/>
    <x v="1"/>
    <x v="4"/>
    <x v="3"/>
    <n v="3512"/>
    <x v="1"/>
    <x v="3"/>
    <x v="1"/>
    <n v="3670"/>
    <n v="69730"/>
    <n v="54826.57"/>
    <n v="14903.43"/>
    <x v="1"/>
    <x v="0"/>
    <x v="3"/>
    <x v="58"/>
    <s v="Média"/>
  </r>
  <r>
    <n v="25"/>
    <x v="50"/>
    <x v="1"/>
    <x v="3"/>
    <x v="1"/>
    <n v="9236"/>
    <x v="0"/>
    <x v="4"/>
    <x v="5"/>
    <n v="4637"/>
    <n v="69555"/>
    <n v="32555.62"/>
    <n v="36999.379999999997"/>
    <x v="0"/>
    <x v="1"/>
    <x v="3"/>
    <x v="59"/>
    <s v="Alta"/>
  </r>
  <r>
    <n v="730"/>
    <x v="51"/>
    <x v="2"/>
    <x v="3"/>
    <x v="2"/>
    <n v="2502"/>
    <x v="1"/>
    <x v="3"/>
    <x v="3"/>
    <n v="4082"/>
    <n v="69394"/>
    <n v="46968.959999999999"/>
    <n v="22425.040000000001"/>
    <x v="1"/>
    <x v="0"/>
    <x v="3"/>
    <x v="60"/>
    <s v="Média"/>
  </r>
  <r>
    <n v="734"/>
    <x v="52"/>
    <x v="3"/>
    <x v="0"/>
    <x v="3"/>
    <n v="5356"/>
    <x v="1"/>
    <x v="1"/>
    <x v="6"/>
    <n v="4955"/>
    <n v="69370"/>
    <n v="43593.64"/>
    <n v="25776.36"/>
    <x v="0"/>
    <x v="2"/>
    <x v="2"/>
    <x v="61"/>
    <s v="Média"/>
  </r>
  <r>
    <n v="269"/>
    <x v="53"/>
    <x v="2"/>
    <x v="4"/>
    <x v="1"/>
    <n v="3241"/>
    <x v="1"/>
    <x v="0"/>
    <x v="5"/>
    <n v="4614"/>
    <n v="69210"/>
    <n v="43951.89"/>
    <n v="25258.11"/>
    <x v="1"/>
    <x v="2"/>
    <x v="1"/>
    <x v="62"/>
    <s v="Média"/>
  </r>
  <r>
    <n v="838"/>
    <x v="14"/>
    <x v="2"/>
    <x v="3"/>
    <x v="0"/>
    <n v="9227"/>
    <x v="0"/>
    <x v="0"/>
    <x v="1"/>
    <n v="3632"/>
    <n v="69008"/>
    <n v="54369.27"/>
    <n v="14638.73"/>
    <x v="2"/>
    <x v="1"/>
    <x v="1"/>
    <x v="63"/>
    <s v="Média"/>
  </r>
  <r>
    <n v="938"/>
    <x v="54"/>
    <x v="2"/>
    <x v="1"/>
    <x v="0"/>
    <n v="1169"/>
    <x v="1"/>
    <x v="0"/>
    <x v="3"/>
    <n v="4033"/>
    <n v="68561"/>
    <n v="36033.83"/>
    <n v="32527.17"/>
    <x v="0"/>
    <x v="0"/>
    <x v="4"/>
    <x v="64"/>
    <s v="Alta"/>
  </r>
  <r>
    <n v="155"/>
    <x v="55"/>
    <x v="1"/>
    <x v="3"/>
    <x v="2"/>
    <n v="6930"/>
    <x v="0"/>
    <x v="2"/>
    <x v="5"/>
    <n v="4515"/>
    <n v="67725"/>
    <n v="39570.74"/>
    <n v="28154.26"/>
    <x v="1"/>
    <x v="0"/>
    <x v="4"/>
    <x v="65"/>
    <s v="Alta"/>
  </r>
  <r>
    <n v="472"/>
    <x v="56"/>
    <x v="3"/>
    <x v="0"/>
    <x v="3"/>
    <n v="2628"/>
    <x v="1"/>
    <x v="4"/>
    <x v="1"/>
    <n v="3541"/>
    <n v="67279"/>
    <n v="50738.64"/>
    <n v="16540.36"/>
    <x v="2"/>
    <x v="2"/>
    <x v="3"/>
    <x v="66"/>
    <s v="Média"/>
  </r>
  <r>
    <n v="885"/>
    <x v="57"/>
    <x v="2"/>
    <x v="1"/>
    <x v="3"/>
    <n v="9510"/>
    <x v="0"/>
    <x v="1"/>
    <x v="2"/>
    <n v="3728"/>
    <n v="67104"/>
    <n v="42303.02"/>
    <n v="24800.98"/>
    <x v="2"/>
    <x v="2"/>
    <x v="2"/>
    <x v="67"/>
    <s v="Média"/>
  </r>
  <r>
    <n v="289"/>
    <x v="58"/>
    <x v="1"/>
    <x v="1"/>
    <x v="0"/>
    <n v="6736"/>
    <x v="2"/>
    <x v="1"/>
    <x v="6"/>
    <n v="4777"/>
    <n v="66878"/>
    <n v="48930.02"/>
    <n v="17947.98"/>
    <x v="2"/>
    <x v="2"/>
    <x v="4"/>
    <x v="68"/>
    <s v="Média"/>
  </r>
  <r>
    <n v="944"/>
    <x v="59"/>
    <x v="2"/>
    <x v="2"/>
    <x v="1"/>
    <n v="9873"/>
    <x v="2"/>
    <x v="3"/>
    <x v="2"/>
    <n v="3708"/>
    <n v="66744"/>
    <n v="43054.7"/>
    <n v="23689.3"/>
    <x v="2"/>
    <x v="1"/>
    <x v="4"/>
    <x v="69"/>
    <s v="Média"/>
  </r>
  <r>
    <n v="981"/>
    <x v="60"/>
    <x v="2"/>
    <x v="4"/>
    <x v="2"/>
    <n v="5996"/>
    <x v="1"/>
    <x v="1"/>
    <x v="2"/>
    <n v="3688"/>
    <n v="66384"/>
    <n v="35430.36"/>
    <n v="30953.64"/>
    <x v="0"/>
    <x v="0"/>
    <x v="4"/>
    <x v="70"/>
    <s v="Alta"/>
  </r>
  <r>
    <n v="843"/>
    <x v="45"/>
    <x v="0"/>
    <x v="2"/>
    <x v="1"/>
    <n v="2330"/>
    <x v="1"/>
    <x v="1"/>
    <x v="0"/>
    <n v="3302"/>
    <n v="66040"/>
    <n v="49910.98"/>
    <n v="16129.02"/>
    <x v="2"/>
    <x v="0"/>
    <x v="1"/>
    <x v="71"/>
    <s v="Média"/>
  </r>
  <r>
    <n v="469"/>
    <x v="61"/>
    <x v="3"/>
    <x v="1"/>
    <x v="3"/>
    <n v="6819"/>
    <x v="0"/>
    <x v="1"/>
    <x v="2"/>
    <n v="3666"/>
    <n v="65988"/>
    <n v="33982.32"/>
    <n v="32005.68"/>
    <x v="0"/>
    <x v="0"/>
    <x v="0"/>
    <x v="72"/>
    <s v="Alta"/>
  </r>
  <r>
    <n v="481"/>
    <x v="38"/>
    <x v="0"/>
    <x v="4"/>
    <x v="1"/>
    <n v="2282"/>
    <x v="0"/>
    <x v="0"/>
    <x v="3"/>
    <n v="3880"/>
    <n v="65960"/>
    <n v="49590.64"/>
    <n v="16369.36"/>
    <x v="0"/>
    <x v="0"/>
    <x v="2"/>
    <x v="73"/>
    <s v="Média"/>
  </r>
  <r>
    <n v="422"/>
    <x v="62"/>
    <x v="0"/>
    <x v="3"/>
    <x v="1"/>
    <n v="5382"/>
    <x v="2"/>
    <x v="4"/>
    <x v="1"/>
    <n v="3458"/>
    <n v="65702"/>
    <n v="39913"/>
    <n v="25789"/>
    <x v="2"/>
    <x v="1"/>
    <x v="0"/>
    <x v="74"/>
    <s v="Média"/>
  </r>
  <r>
    <n v="829"/>
    <x v="63"/>
    <x v="0"/>
    <x v="1"/>
    <x v="0"/>
    <n v="3816"/>
    <x v="0"/>
    <x v="0"/>
    <x v="4"/>
    <n v="4104"/>
    <n v="65664"/>
    <n v="30999.279999999999"/>
    <n v="34664.720000000001"/>
    <x v="2"/>
    <x v="2"/>
    <x v="0"/>
    <x v="75"/>
    <s v="Alta"/>
  </r>
  <r>
    <n v="788"/>
    <x v="64"/>
    <x v="0"/>
    <x v="3"/>
    <x v="0"/>
    <n v="8602"/>
    <x v="1"/>
    <x v="1"/>
    <x v="0"/>
    <n v="3281"/>
    <n v="65620"/>
    <n v="37731.410000000003"/>
    <n v="27888.59"/>
    <x v="1"/>
    <x v="2"/>
    <x v="2"/>
    <x v="76"/>
    <s v="Alta"/>
  </r>
  <r>
    <n v="442"/>
    <x v="65"/>
    <x v="3"/>
    <x v="0"/>
    <x v="2"/>
    <n v="1234"/>
    <x v="2"/>
    <x v="0"/>
    <x v="1"/>
    <n v="3448"/>
    <n v="65512"/>
    <n v="47976.44"/>
    <n v="17535.560000000001"/>
    <x v="2"/>
    <x v="0"/>
    <x v="4"/>
    <x v="77"/>
    <s v="Média"/>
  </r>
  <r>
    <n v="402"/>
    <x v="66"/>
    <x v="1"/>
    <x v="0"/>
    <x v="0"/>
    <n v="1531"/>
    <x v="0"/>
    <x v="1"/>
    <x v="5"/>
    <n v="4365"/>
    <n v="65475"/>
    <n v="44364.43"/>
    <n v="21110.57"/>
    <x v="1"/>
    <x v="1"/>
    <x v="1"/>
    <x v="78"/>
    <s v="Média"/>
  </r>
  <r>
    <n v="558"/>
    <x v="67"/>
    <x v="2"/>
    <x v="0"/>
    <x v="2"/>
    <n v="1038"/>
    <x v="1"/>
    <x v="4"/>
    <x v="2"/>
    <n v="3627"/>
    <n v="65286"/>
    <n v="44620.37"/>
    <n v="20665.63"/>
    <x v="2"/>
    <x v="0"/>
    <x v="4"/>
    <x v="79"/>
    <s v="Média"/>
  </r>
  <r>
    <n v="694"/>
    <x v="68"/>
    <x v="0"/>
    <x v="1"/>
    <x v="1"/>
    <n v="7586"/>
    <x v="2"/>
    <x v="4"/>
    <x v="4"/>
    <n v="4075"/>
    <n v="65200"/>
    <n v="36974.120000000003"/>
    <n v="28225.88"/>
    <x v="2"/>
    <x v="0"/>
    <x v="3"/>
    <x v="80"/>
    <s v="Alta"/>
  </r>
  <r>
    <n v="745"/>
    <x v="18"/>
    <x v="2"/>
    <x v="2"/>
    <x v="2"/>
    <n v="8861"/>
    <x v="1"/>
    <x v="3"/>
    <x v="5"/>
    <n v="4341"/>
    <n v="65115"/>
    <n v="33633.01"/>
    <n v="31481.99"/>
    <x v="2"/>
    <x v="1"/>
    <x v="2"/>
    <x v="81"/>
    <s v="Alta"/>
  </r>
  <r>
    <n v="74"/>
    <x v="69"/>
    <x v="2"/>
    <x v="4"/>
    <x v="2"/>
    <n v="9958"/>
    <x v="2"/>
    <x v="0"/>
    <x v="2"/>
    <n v="3616"/>
    <n v="65088"/>
    <n v="29617.83"/>
    <n v="35470.17"/>
    <x v="1"/>
    <x v="0"/>
    <x v="4"/>
    <x v="82"/>
    <s v="Alta"/>
  </r>
  <r>
    <n v="435"/>
    <x v="70"/>
    <x v="1"/>
    <x v="1"/>
    <x v="3"/>
    <n v="8255"/>
    <x v="2"/>
    <x v="4"/>
    <x v="3"/>
    <n v="3818"/>
    <n v="64906"/>
    <n v="38448.230000000003"/>
    <n v="26457.77"/>
    <x v="1"/>
    <x v="0"/>
    <x v="2"/>
    <x v="83"/>
    <s v="Alta"/>
  </r>
  <r>
    <n v="389"/>
    <x v="6"/>
    <x v="2"/>
    <x v="1"/>
    <x v="3"/>
    <n v="4401"/>
    <x v="0"/>
    <x v="4"/>
    <x v="7"/>
    <n v="4989"/>
    <n v="64857"/>
    <n v="35681.99"/>
    <n v="29175.01"/>
    <x v="1"/>
    <x v="0"/>
    <x v="4"/>
    <x v="84"/>
    <s v="Alta"/>
  </r>
  <r>
    <n v="588"/>
    <x v="19"/>
    <x v="3"/>
    <x v="3"/>
    <x v="3"/>
    <n v="8727"/>
    <x v="0"/>
    <x v="1"/>
    <x v="2"/>
    <n v="3581"/>
    <n v="64458"/>
    <n v="35181.1"/>
    <n v="29276.9"/>
    <x v="2"/>
    <x v="1"/>
    <x v="3"/>
    <x v="85"/>
    <s v="Alta"/>
  </r>
  <r>
    <n v="141"/>
    <x v="27"/>
    <x v="0"/>
    <x v="1"/>
    <x v="2"/>
    <n v="8164"/>
    <x v="0"/>
    <x v="3"/>
    <x v="3"/>
    <n v="3775"/>
    <n v="64175"/>
    <n v="47242.67"/>
    <n v="16932.330000000002"/>
    <x v="2"/>
    <x v="2"/>
    <x v="0"/>
    <x v="86"/>
    <s v="Média"/>
  </r>
  <r>
    <n v="114"/>
    <x v="71"/>
    <x v="0"/>
    <x v="0"/>
    <x v="0"/>
    <n v="4347"/>
    <x v="1"/>
    <x v="3"/>
    <x v="0"/>
    <n v="3208"/>
    <n v="64160"/>
    <n v="44870.86"/>
    <n v="19289.14"/>
    <x v="1"/>
    <x v="1"/>
    <x v="3"/>
    <x v="87"/>
    <s v="Média"/>
  </r>
  <r>
    <n v="208"/>
    <x v="72"/>
    <x v="2"/>
    <x v="0"/>
    <x v="2"/>
    <n v="1626"/>
    <x v="2"/>
    <x v="4"/>
    <x v="5"/>
    <n v="4271"/>
    <n v="64065"/>
    <n v="44948.49"/>
    <n v="19116.509999999998"/>
    <x v="0"/>
    <x v="0"/>
    <x v="1"/>
    <x v="88"/>
    <s v="Média"/>
  </r>
  <r>
    <n v="804"/>
    <x v="73"/>
    <x v="0"/>
    <x v="3"/>
    <x v="2"/>
    <n v="9227"/>
    <x v="1"/>
    <x v="3"/>
    <x v="1"/>
    <n v="3364"/>
    <n v="63916"/>
    <n v="27708.74"/>
    <n v="36207.26"/>
    <x v="0"/>
    <x v="1"/>
    <x v="1"/>
    <x v="89"/>
    <s v="Alta"/>
  </r>
  <r>
    <n v="485"/>
    <x v="74"/>
    <x v="0"/>
    <x v="4"/>
    <x v="3"/>
    <n v="8756"/>
    <x v="1"/>
    <x v="1"/>
    <x v="0"/>
    <n v="3193"/>
    <n v="63860"/>
    <n v="48413.73"/>
    <n v="15446.27"/>
    <x v="2"/>
    <x v="2"/>
    <x v="0"/>
    <x v="90"/>
    <s v="Média"/>
  </r>
  <r>
    <n v="197"/>
    <x v="11"/>
    <x v="0"/>
    <x v="2"/>
    <x v="2"/>
    <n v="9044"/>
    <x v="2"/>
    <x v="1"/>
    <x v="6"/>
    <n v="4545"/>
    <n v="63630"/>
    <n v="36579.07"/>
    <n v="27050.93"/>
    <x v="1"/>
    <x v="2"/>
    <x v="2"/>
    <x v="91"/>
    <s v="Alta"/>
  </r>
  <r>
    <n v="256"/>
    <x v="75"/>
    <x v="3"/>
    <x v="4"/>
    <x v="3"/>
    <n v="7916"/>
    <x v="1"/>
    <x v="1"/>
    <x v="7"/>
    <n v="4882"/>
    <n v="63466"/>
    <n v="47096.54"/>
    <n v="16369.46"/>
    <x v="0"/>
    <x v="0"/>
    <x v="0"/>
    <x v="92"/>
    <s v="Média"/>
  </r>
  <r>
    <n v="576"/>
    <x v="9"/>
    <x v="3"/>
    <x v="3"/>
    <x v="1"/>
    <n v="7322"/>
    <x v="0"/>
    <x v="1"/>
    <x v="3"/>
    <n v="3715"/>
    <n v="63155"/>
    <n v="41617.25"/>
    <n v="21537.75"/>
    <x v="2"/>
    <x v="2"/>
    <x v="1"/>
    <x v="93"/>
    <s v="Média"/>
  </r>
  <r>
    <n v="926"/>
    <x v="76"/>
    <x v="2"/>
    <x v="4"/>
    <x v="3"/>
    <n v="3739"/>
    <x v="0"/>
    <x v="3"/>
    <x v="2"/>
    <n v="3503"/>
    <n v="63054"/>
    <n v="41070.76"/>
    <n v="21983.24"/>
    <x v="1"/>
    <x v="0"/>
    <x v="4"/>
    <x v="94"/>
    <s v="Média"/>
  </r>
  <r>
    <n v="151"/>
    <x v="77"/>
    <x v="1"/>
    <x v="1"/>
    <x v="1"/>
    <n v="8858"/>
    <x v="1"/>
    <x v="2"/>
    <x v="6"/>
    <n v="4500"/>
    <n v="63000"/>
    <n v="39327.660000000003"/>
    <n v="23672.34"/>
    <x v="2"/>
    <x v="0"/>
    <x v="0"/>
    <x v="95"/>
    <s v="Média"/>
  </r>
  <r>
    <n v="117"/>
    <x v="11"/>
    <x v="3"/>
    <x v="2"/>
    <x v="3"/>
    <n v="1537"/>
    <x v="0"/>
    <x v="1"/>
    <x v="6"/>
    <n v="4494"/>
    <n v="62916"/>
    <n v="43755.71"/>
    <n v="19160.29"/>
    <x v="0"/>
    <x v="2"/>
    <x v="1"/>
    <x v="96"/>
    <s v="Média"/>
  </r>
  <r>
    <n v="116"/>
    <x v="78"/>
    <x v="3"/>
    <x v="2"/>
    <x v="0"/>
    <n v="6229"/>
    <x v="0"/>
    <x v="0"/>
    <x v="4"/>
    <n v="3919"/>
    <n v="62704"/>
    <n v="29624.99"/>
    <n v="33079.01"/>
    <x v="1"/>
    <x v="1"/>
    <x v="4"/>
    <x v="97"/>
    <s v="Alta"/>
  </r>
  <r>
    <n v="547"/>
    <x v="79"/>
    <x v="0"/>
    <x v="4"/>
    <x v="3"/>
    <n v="1029"/>
    <x v="1"/>
    <x v="0"/>
    <x v="1"/>
    <n v="3295"/>
    <n v="62605"/>
    <n v="35628.18"/>
    <n v="26976.82"/>
    <x v="1"/>
    <x v="1"/>
    <x v="2"/>
    <x v="98"/>
    <s v="Alta"/>
  </r>
  <r>
    <n v="412"/>
    <x v="36"/>
    <x v="1"/>
    <x v="2"/>
    <x v="2"/>
    <n v="6008"/>
    <x v="0"/>
    <x v="1"/>
    <x v="5"/>
    <n v="4151"/>
    <n v="62265"/>
    <n v="35269.26"/>
    <n v="26995.74"/>
    <x v="2"/>
    <x v="1"/>
    <x v="3"/>
    <x v="99"/>
    <s v="Alta"/>
  </r>
  <r>
    <n v="864"/>
    <x v="80"/>
    <x v="1"/>
    <x v="2"/>
    <x v="3"/>
    <n v="9620"/>
    <x v="0"/>
    <x v="2"/>
    <x v="4"/>
    <n v="3880"/>
    <n v="62080"/>
    <n v="39006.15"/>
    <n v="23073.85"/>
    <x v="2"/>
    <x v="1"/>
    <x v="1"/>
    <x v="100"/>
    <s v="Média"/>
  </r>
  <r>
    <n v="921"/>
    <x v="67"/>
    <x v="2"/>
    <x v="0"/>
    <x v="1"/>
    <n v="7932"/>
    <x v="0"/>
    <x v="3"/>
    <x v="4"/>
    <n v="3871"/>
    <n v="61936"/>
    <n v="37391.360000000001"/>
    <n v="24544.639999999999"/>
    <x v="0"/>
    <x v="0"/>
    <x v="0"/>
    <x v="101"/>
    <s v="Média"/>
  </r>
  <r>
    <n v="96"/>
    <x v="10"/>
    <x v="1"/>
    <x v="2"/>
    <x v="1"/>
    <n v="1861"/>
    <x v="1"/>
    <x v="2"/>
    <x v="7"/>
    <n v="4754"/>
    <n v="61802"/>
    <n v="32727.45"/>
    <n v="29074.55"/>
    <x v="0"/>
    <x v="1"/>
    <x v="1"/>
    <x v="102"/>
    <s v="Alta"/>
  </r>
  <r>
    <n v="493"/>
    <x v="81"/>
    <x v="0"/>
    <x v="3"/>
    <x v="0"/>
    <n v="4551"/>
    <x v="0"/>
    <x v="3"/>
    <x v="4"/>
    <n v="3845"/>
    <n v="61520"/>
    <n v="32903.42"/>
    <n v="28616.58"/>
    <x v="0"/>
    <x v="2"/>
    <x v="1"/>
    <x v="103"/>
    <s v="Alta"/>
  </r>
  <r>
    <n v="711"/>
    <x v="82"/>
    <x v="2"/>
    <x v="1"/>
    <x v="1"/>
    <n v="3786"/>
    <x v="1"/>
    <x v="0"/>
    <x v="2"/>
    <n v="3389"/>
    <n v="61002"/>
    <n v="42824.11"/>
    <n v="18177.89"/>
    <x v="0"/>
    <x v="1"/>
    <x v="2"/>
    <x v="104"/>
    <s v="Média"/>
  </r>
  <r>
    <n v="331"/>
    <x v="69"/>
    <x v="2"/>
    <x v="3"/>
    <x v="2"/>
    <n v="8541"/>
    <x v="2"/>
    <x v="0"/>
    <x v="4"/>
    <n v="3805"/>
    <n v="60880"/>
    <n v="36478.589999999997"/>
    <n v="24401.41"/>
    <x v="0"/>
    <x v="1"/>
    <x v="1"/>
    <x v="105"/>
    <s v="Alta"/>
  </r>
  <r>
    <n v="728"/>
    <x v="83"/>
    <x v="1"/>
    <x v="4"/>
    <x v="1"/>
    <n v="5989"/>
    <x v="1"/>
    <x v="1"/>
    <x v="6"/>
    <n v="4333"/>
    <n v="60662"/>
    <n v="25449.08"/>
    <n v="35212.92"/>
    <x v="0"/>
    <x v="0"/>
    <x v="2"/>
    <x v="106"/>
    <s v="Alta"/>
  </r>
  <r>
    <n v="774"/>
    <x v="84"/>
    <x v="2"/>
    <x v="1"/>
    <x v="2"/>
    <n v="6317"/>
    <x v="1"/>
    <x v="0"/>
    <x v="0"/>
    <n v="3016"/>
    <n v="60320"/>
    <n v="40624.199999999997"/>
    <n v="19695.8"/>
    <x v="2"/>
    <x v="0"/>
    <x v="4"/>
    <x v="107"/>
    <s v="Média"/>
  </r>
  <r>
    <n v="257"/>
    <x v="85"/>
    <x v="1"/>
    <x v="4"/>
    <x v="3"/>
    <n v="4197"/>
    <x v="2"/>
    <x v="1"/>
    <x v="2"/>
    <n v="3342"/>
    <n v="60156"/>
    <n v="36191.69"/>
    <n v="23964.31"/>
    <x v="1"/>
    <x v="0"/>
    <x v="2"/>
    <x v="108"/>
    <s v="Média"/>
  </r>
  <r>
    <n v="108"/>
    <x v="17"/>
    <x v="3"/>
    <x v="3"/>
    <x v="3"/>
    <n v="3497"/>
    <x v="2"/>
    <x v="2"/>
    <x v="7"/>
    <n v="4613"/>
    <n v="59969"/>
    <n v="40773.879999999997"/>
    <n v="19195.12"/>
    <x v="1"/>
    <x v="1"/>
    <x v="1"/>
    <x v="109"/>
    <s v="Média"/>
  </r>
  <r>
    <n v="161"/>
    <x v="86"/>
    <x v="1"/>
    <x v="1"/>
    <x v="0"/>
    <n v="2376"/>
    <x v="0"/>
    <x v="1"/>
    <x v="4"/>
    <n v="3726"/>
    <n v="59616"/>
    <n v="28724.84"/>
    <n v="30891.16"/>
    <x v="2"/>
    <x v="0"/>
    <x v="2"/>
    <x v="110"/>
    <s v="Alta"/>
  </r>
  <r>
    <n v="210"/>
    <x v="79"/>
    <x v="1"/>
    <x v="2"/>
    <x v="1"/>
    <n v="4420"/>
    <x v="2"/>
    <x v="3"/>
    <x v="5"/>
    <n v="3925"/>
    <n v="58875"/>
    <n v="28731.279999999999"/>
    <n v="30143.72"/>
    <x v="1"/>
    <x v="0"/>
    <x v="3"/>
    <x v="111"/>
    <s v="Alta"/>
  </r>
  <r>
    <n v="316"/>
    <x v="75"/>
    <x v="3"/>
    <x v="0"/>
    <x v="3"/>
    <n v="8734"/>
    <x v="0"/>
    <x v="3"/>
    <x v="8"/>
    <n v="4863"/>
    <n v="58356"/>
    <n v="32772.07"/>
    <n v="25583.93"/>
    <x v="1"/>
    <x v="2"/>
    <x v="4"/>
    <x v="112"/>
    <s v="Alta"/>
  </r>
  <r>
    <n v="704"/>
    <x v="87"/>
    <x v="2"/>
    <x v="2"/>
    <x v="0"/>
    <n v="6590"/>
    <x v="1"/>
    <x v="3"/>
    <x v="6"/>
    <n v="4168"/>
    <n v="58352"/>
    <n v="41239.97"/>
    <n v="17112.03"/>
    <x v="2"/>
    <x v="2"/>
    <x v="4"/>
    <x v="113"/>
    <s v="Média"/>
  </r>
  <r>
    <n v="673"/>
    <x v="88"/>
    <x v="2"/>
    <x v="1"/>
    <x v="2"/>
    <n v="6570"/>
    <x v="2"/>
    <x v="2"/>
    <x v="7"/>
    <n v="4485"/>
    <n v="58305"/>
    <n v="28238.15"/>
    <n v="30066.85"/>
    <x v="0"/>
    <x v="2"/>
    <x v="3"/>
    <x v="114"/>
    <s v="Alta"/>
  </r>
  <r>
    <n v="956"/>
    <x v="49"/>
    <x v="3"/>
    <x v="0"/>
    <x v="0"/>
    <n v="2329"/>
    <x v="1"/>
    <x v="2"/>
    <x v="6"/>
    <n v="4164"/>
    <n v="58296"/>
    <n v="26829.67"/>
    <n v="31466.33"/>
    <x v="0"/>
    <x v="2"/>
    <x v="0"/>
    <x v="115"/>
    <s v="Alta"/>
  </r>
  <r>
    <n v="57"/>
    <x v="33"/>
    <x v="0"/>
    <x v="1"/>
    <x v="0"/>
    <n v="2313"/>
    <x v="0"/>
    <x v="0"/>
    <x v="8"/>
    <n v="4843"/>
    <n v="58116"/>
    <n v="44775.79"/>
    <n v="13340.21"/>
    <x v="2"/>
    <x v="1"/>
    <x v="1"/>
    <x v="116"/>
    <s v="Média"/>
  </r>
  <r>
    <n v="884"/>
    <x v="89"/>
    <x v="2"/>
    <x v="0"/>
    <x v="0"/>
    <n v="6382"/>
    <x v="0"/>
    <x v="1"/>
    <x v="6"/>
    <n v="4062"/>
    <n v="56868"/>
    <n v="42284.800000000003"/>
    <n v="14583.2"/>
    <x v="0"/>
    <x v="2"/>
    <x v="0"/>
    <x v="117"/>
    <s v="Média"/>
  </r>
  <r>
    <n v="905"/>
    <x v="90"/>
    <x v="0"/>
    <x v="4"/>
    <x v="0"/>
    <n v="1727"/>
    <x v="2"/>
    <x v="2"/>
    <x v="7"/>
    <n v="4355"/>
    <n v="56615"/>
    <n v="27954.53"/>
    <n v="28660.47"/>
    <x v="1"/>
    <x v="1"/>
    <x v="4"/>
    <x v="118"/>
    <s v="Alta"/>
  </r>
  <r>
    <n v="140"/>
    <x v="91"/>
    <x v="2"/>
    <x v="3"/>
    <x v="1"/>
    <n v="8003"/>
    <x v="1"/>
    <x v="1"/>
    <x v="0"/>
    <n v="2820"/>
    <n v="56400"/>
    <n v="23981.919999999998"/>
    <n v="32418.080000000002"/>
    <x v="1"/>
    <x v="2"/>
    <x v="3"/>
    <x v="119"/>
    <s v="Alta"/>
  </r>
  <r>
    <n v="848"/>
    <x v="92"/>
    <x v="1"/>
    <x v="4"/>
    <x v="2"/>
    <n v="1991"/>
    <x v="1"/>
    <x v="4"/>
    <x v="3"/>
    <n v="3308"/>
    <n v="56236"/>
    <n v="27419.759999999998"/>
    <n v="28816.240000000002"/>
    <x v="2"/>
    <x v="2"/>
    <x v="2"/>
    <x v="120"/>
    <s v="Alta"/>
  </r>
  <r>
    <n v="152"/>
    <x v="93"/>
    <x v="3"/>
    <x v="3"/>
    <x v="3"/>
    <n v="6633"/>
    <x v="1"/>
    <x v="4"/>
    <x v="5"/>
    <n v="3746"/>
    <n v="56190"/>
    <n v="42147.94"/>
    <n v="14042.06"/>
    <x v="2"/>
    <x v="1"/>
    <x v="3"/>
    <x v="121"/>
    <s v="Média"/>
  </r>
  <r>
    <n v="212"/>
    <x v="94"/>
    <x v="2"/>
    <x v="2"/>
    <x v="2"/>
    <n v="6345"/>
    <x v="1"/>
    <x v="2"/>
    <x v="8"/>
    <n v="4669"/>
    <n v="56028"/>
    <n v="37362.949999999997"/>
    <n v="18665.05"/>
    <x v="1"/>
    <x v="2"/>
    <x v="1"/>
    <x v="122"/>
    <s v="Média"/>
  </r>
  <r>
    <n v="550"/>
    <x v="95"/>
    <x v="0"/>
    <x v="1"/>
    <x v="0"/>
    <n v="1547"/>
    <x v="2"/>
    <x v="0"/>
    <x v="8"/>
    <n v="4667"/>
    <n v="56004"/>
    <n v="26199.38"/>
    <n v="29804.62"/>
    <x v="1"/>
    <x v="2"/>
    <x v="1"/>
    <x v="123"/>
    <s v="Alta"/>
  </r>
  <r>
    <n v="543"/>
    <x v="91"/>
    <x v="2"/>
    <x v="2"/>
    <x v="2"/>
    <n v="8712"/>
    <x v="0"/>
    <x v="1"/>
    <x v="3"/>
    <n v="3294"/>
    <n v="55998"/>
    <n v="27997.95"/>
    <n v="28000.05"/>
    <x v="0"/>
    <x v="1"/>
    <x v="4"/>
    <x v="124"/>
    <s v="Alta"/>
  </r>
  <r>
    <n v="17"/>
    <x v="96"/>
    <x v="0"/>
    <x v="1"/>
    <x v="0"/>
    <n v="6274"/>
    <x v="2"/>
    <x v="3"/>
    <x v="6"/>
    <n v="3985"/>
    <n v="55790"/>
    <n v="33209"/>
    <n v="22581"/>
    <x v="1"/>
    <x v="1"/>
    <x v="1"/>
    <x v="125"/>
    <s v="Alta"/>
  </r>
  <r>
    <n v="942"/>
    <x v="14"/>
    <x v="1"/>
    <x v="3"/>
    <x v="0"/>
    <n v="6410"/>
    <x v="2"/>
    <x v="1"/>
    <x v="1"/>
    <n v="2934"/>
    <n v="55746"/>
    <n v="41190.31"/>
    <n v="14555.69"/>
    <x v="2"/>
    <x v="0"/>
    <x v="0"/>
    <x v="126"/>
    <s v="Média"/>
  </r>
  <r>
    <n v="904"/>
    <x v="71"/>
    <x v="2"/>
    <x v="3"/>
    <x v="3"/>
    <n v="2049"/>
    <x v="1"/>
    <x v="2"/>
    <x v="3"/>
    <n v="3266"/>
    <n v="55522"/>
    <n v="29186.17"/>
    <n v="26335.83"/>
    <x v="1"/>
    <x v="2"/>
    <x v="0"/>
    <x v="127"/>
    <s v="Alta"/>
  </r>
  <r>
    <n v="765"/>
    <x v="97"/>
    <x v="0"/>
    <x v="2"/>
    <x v="3"/>
    <n v="2296"/>
    <x v="0"/>
    <x v="3"/>
    <x v="4"/>
    <n v="3465"/>
    <n v="55440"/>
    <n v="22901.86"/>
    <n v="32538.14"/>
    <x v="0"/>
    <x v="2"/>
    <x v="2"/>
    <x v="128"/>
    <s v="Alta"/>
  </r>
  <r>
    <n v="229"/>
    <x v="56"/>
    <x v="1"/>
    <x v="3"/>
    <x v="3"/>
    <n v="5612"/>
    <x v="2"/>
    <x v="2"/>
    <x v="6"/>
    <n v="3953"/>
    <n v="55342"/>
    <n v="24957.22"/>
    <n v="30384.78"/>
    <x v="1"/>
    <x v="0"/>
    <x v="3"/>
    <x v="129"/>
    <s v="Alta"/>
  </r>
  <r>
    <n v="525"/>
    <x v="31"/>
    <x v="1"/>
    <x v="2"/>
    <x v="3"/>
    <n v="3322"/>
    <x v="0"/>
    <x v="4"/>
    <x v="7"/>
    <n v="4247"/>
    <n v="55211"/>
    <n v="40148.239999999998"/>
    <n v="15062.76"/>
    <x v="0"/>
    <x v="0"/>
    <x v="1"/>
    <x v="130"/>
    <s v="Média"/>
  </r>
  <r>
    <n v="552"/>
    <x v="1"/>
    <x v="0"/>
    <x v="1"/>
    <x v="2"/>
    <n v="3991"/>
    <x v="2"/>
    <x v="1"/>
    <x v="7"/>
    <n v="4234"/>
    <n v="55042"/>
    <n v="35635.97"/>
    <n v="19406.03"/>
    <x v="0"/>
    <x v="1"/>
    <x v="2"/>
    <x v="131"/>
    <s v="Média"/>
  </r>
  <r>
    <n v="735"/>
    <x v="18"/>
    <x v="1"/>
    <x v="0"/>
    <x v="2"/>
    <n v="8446"/>
    <x v="1"/>
    <x v="3"/>
    <x v="6"/>
    <n v="3931"/>
    <n v="55034"/>
    <n v="33280.04"/>
    <n v="21753.96"/>
    <x v="2"/>
    <x v="1"/>
    <x v="0"/>
    <x v="132"/>
    <s v="Média"/>
  </r>
  <r>
    <n v="586"/>
    <x v="36"/>
    <x v="3"/>
    <x v="4"/>
    <x v="3"/>
    <n v="6396"/>
    <x v="0"/>
    <x v="2"/>
    <x v="9"/>
    <n v="4976"/>
    <n v="54736"/>
    <n v="40208.35"/>
    <n v="14527.65"/>
    <x v="1"/>
    <x v="2"/>
    <x v="2"/>
    <x v="133"/>
    <s v="Média"/>
  </r>
  <r>
    <n v="952"/>
    <x v="98"/>
    <x v="3"/>
    <x v="0"/>
    <x v="3"/>
    <n v="9741"/>
    <x v="0"/>
    <x v="3"/>
    <x v="3"/>
    <n v="3205"/>
    <n v="54485"/>
    <n v="28273.15"/>
    <n v="26211.85"/>
    <x v="2"/>
    <x v="2"/>
    <x v="0"/>
    <x v="134"/>
    <s v="Alta"/>
  </r>
  <r>
    <n v="753"/>
    <x v="55"/>
    <x v="1"/>
    <x v="0"/>
    <x v="1"/>
    <n v="4520"/>
    <x v="0"/>
    <x v="4"/>
    <x v="7"/>
    <n v="4183"/>
    <n v="54379"/>
    <n v="37178.129999999997"/>
    <n v="17200.87"/>
    <x v="1"/>
    <x v="0"/>
    <x v="2"/>
    <x v="135"/>
    <s v="Média"/>
  </r>
  <r>
    <n v="218"/>
    <x v="6"/>
    <x v="2"/>
    <x v="2"/>
    <x v="1"/>
    <n v="8356"/>
    <x v="0"/>
    <x v="1"/>
    <x v="0"/>
    <n v="2704"/>
    <n v="54080"/>
    <n v="22282.44"/>
    <n v="31797.56"/>
    <x v="1"/>
    <x v="2"/>
    <x v="2"/>
    <x v="136"/>
    <s v="Alta"/>
  </r>
  <r>
    <n v="984"/>
    <x v="0"/>
    <x v="0"/>
    <x v="3"/>
    <x v="2"/>
    <n v="5277"/>
    <x v="2"/>
    <x v="4"/>
    <x v="0"/>
    <n v="2703"/>
    <n v="54060"/>
    <n v="28579.33"/>
    <n v="25480.67"/>
    <x v="1"/>
    <x v="2"/>
    <x v="2"/>
    <x v="137"/>
    <s v="Alta"/>
  </r>
  <r>
    <n v="204"/>
    <x v="95"/>
    <x v="3"/>
    <x v="1"/>
    <x v="0"/>
    <n v="3423"/>
    <x v="2"/>
    <x v="4"/>
    <x v="8"/>
    <n v="4482"/>
    <n v="53784"/>
    <n v="29134.09"/>
    <n v="24649.91"/>
    <x v="0"/>
    <x v="1"/>
    <x v="0"/>
    <x v="138"/>
    <s v="Alta"/>
  </r>
  <r>
    <n v="860"/>
    <x v="58"/>
    <x v="2"/>
    <x v="4"/>
    <x v="1"/>
    <n v="3162"/>
    <x v="0"/>
    <x v="2"/>
    <x v="8"/>
    <n v="4478"/>
    <n v="53736"/>
    <n v="26218.78"/>
    <n v="27517.22"/>
    <x v="0"/>
    <x v="2"/>
    <x v="4"/>
    <x v="139"/>
    <s v="Alta"/>
  </r>
  <r>
    <n v="721"/>
    <x v="99"/>
    <x v="3"/>
    <x v="4"/>
    <x v="3"/>
    <n v="6596"/>
    <x v="1"/>
    <x v="3"/>
    <x v="6"/>
    <n v="3838"/>
    <n v="53732"/>
    <n v="33015.040000000001"/>
    <n v="20716.96"/>
    <x v="0"/>
    <x v="0"/>
    <x v="2"/>
    <x v="140"/>
    <s v="Média"/>
  </r>
  <r>
    <n v="834"/>
    <x v="46"/>
    <x v="0"/>
    <x v="0"/>
    <x v="3"/>
    <n v="7023"/>
    <x v="2"/>
    <x v="3"/>
    <x v="7"/>
    <n v="4118"/>
    <n v="53534"/>
    <n v="38261.629999999997"/>
    <n v="15272.37"/>
    <x v="2"/>
    <x v="2"/>
    <x v="4"/>
    <x v="141"/>
    <s v="Média"/>
  </r>
  <r>
    <n v="798"/>
    <x v="100"/>
    <x v="1"/>
    <x v="3"/>
    <x v="1"/>
    <n v="1795"/>
    <x v="0"/>
    <x v="4"/>
    <x v="5"/>
    <n v="3563"/>
    <n v="53445"/>
    <n v="21719.200000000001"/>
    <n v="31725.8"/>
    <x v="2"/>
    <x v="2"/>
    <x v="1"/>
    <x v="142"/>
    <s v="Alta"/>
  </r>
  <r>
    <n v="281"/>
    <x v="47"/>
    <x v="1"/>
    <x v="1"/>
    <x v="0"/>
    <n v="2913"/>
    <x v="0"/>
    <x v="3"/>
    <x v="3"/>
    <n v="3133"/>
    <n v="53261"/>
    <n v="26435.99"/>
    <n v="26825.01"/>
    <x v="1"/>
    <x v="2"/>
    <x v="4"/>
    <x v="143"/>
    <s v="Alta"/>
  </r>
  <r>
    <n v="436"/>
    <x v="19"/>
    <x v="2"/>
    <x v="2"/>
    <x v="3"/>
    <n v="1910"/>
    <x v="0"/>
    <x v="1"/>
    <x v="9"/>
    <n v="4829"/>
    <n v="53119"/>
    <n v="26233.18"/>
    <n v="26885.82"/>
    <x v="2"/>
    <x v="2"/>
    <x v="3"/>
    <x v="144"/>
    <s v="Alta"/>
  </r>
  <r>
    <n v="847"/>
    <x v="101"/>
    <x v="1"/>
    <x v="4"/>
    <x v="3"/>
    <n v="3766"/>
    <x v="0"/>
    <x v="4"/>
    <x v="3"/>
    <n v="3124"/>
    <n v="53108"/>
    <n v="30202.44"/>
    <n v="22905.56"/>
    <x v="0"/>
    <x v="0"/>
    <x v="4"/>
    <x v="145"/>
    <s v="Alta"/>
  </r>
  <r>
    <n v="459"/>
    <x v="102"/>
    <x v="3"/>
    <x v="1"/>
    <x v="2"/>
    <n v="1405"/>
    <x v="2"/>
    <x v="2"/>
    <x v="3"/>
    <n v="3095"/>
    <n v="52615"/>
    <n v="37488.78"/>
    <n v="15126.22"/>
    <x v="0"/>
    <x v="2"/>
    <x v="1"/>
    <x v="146"/>
    <s v="Média"/>
  </r>
  <r>
    <n v="859"/>
    <x v="5"/>
    <x v="0"/>
    <x v="1"/>
    <x v="2"/>
    <n v="3833"/>
    <x v="0"/>
    <x v="1"/>
    <x v="4"/>
    <n v="3285"/>
    <n v="52560"/>
    <n v="31034.560000000001"/>
    <n v="21525.439999999999"/>
    <x v="0"/>
    <x v="1"/>
    <x v="0"/>
    <x v="147"/>
    <s v="Alta"/>
  </r>
  <r>
    <n v="113"/>
    <x v="12"/>
    <x v="0"/>
    <x v="4"/>
    <x v="2"/>
    <n v="9340"/>
    <x v="0"/>
    <x v="4"/>
    <x v="4"/>
    <n v="3279"/>
    <n v="52464"/>
    <n v="29017.919999999998"/>
    <n v="23446.080000000002"/>
    <x v="1"/>
    <x v="1"/>
    <x v="4"/>
    <x v="148"/>
    <s v="Alta"/>
  </r>
  <r>
    <n v="408"/>
    <x v="76"/>
    <x v="3"/>
    <x v="2"/>
    <x v="1"/>
    <n v="5493"/>
    <x v="1"/>
    <x v="0"/>
    <x v="1"/>
    <n v="2738"/>
    <n v="52022"/>
    <n v="22547.71"/>
    <n v="29474.29"/>
    <x v="0"/>
    <x v="1"/>
    <x v="3"/>
    <x v="149"/>
    <s v="Alta"/>
  </r>
  <r>
    <n v="623"/>
    <x v="89"/>
    <x v="3"/>
    <x v="3"/>
    <x v="1"/>
    <n v="7217"/>
    <x v="0"/>
    <x v="2"/>
    <x v="3"/>
    <n v="3056"/>
    <n v="51952"/>
    <n v="21388.67"/>
    <n v="30563.33"/>
    <x v="0"/>
    <x v="1"/>
    <x v="4"/>
    <x v="150"/>
    <s v="Alta"/>
  </r>
  <r>
    <n v="50"/>
    <x v="6"/>
    <x v="1"/>
    <x v="0"/>
    <x v="3"/>
    <n v="3068"/>
    <x v="0"/>
    <x v="4"/>
    <x v="6"/>
    <n v="3682"/>
    <n v="51548"/>
    <n v="29608.54"/>
    <n v="21939.46"/>
    <x v="0"/>
    <x v="0"/>
    <x v="2"/>
    <x v="151"/>
    <s v="Alta"/>
  </r>
  <r>
    <n v="88"/>
    <x v="85"/>
    <x v="2"/>
    <x v="4"/>
    <x v="3"/>
    <n v="7683"/>
    <x v="1"/>
    <x v="3"/>
    <x v="6"/>
    <n v="3681"/>
    <n v="51534"/>
    <n v="34627.42"/>
    <n v="16906.580000000002"/>
    <x v="1"/>
    <x v="0"/>
    <x v="4"/>
    <x v="152"/>
    <s v="Média"/>
  </r>
  <r>
    <n v="600"/>
    <x v="103"/>
    <x v="1"/>
    <x v="3"/>
    <x v="1"/>
    <n v="2768"/>
    <x v="2"/>
    <x v="0"/>
    <x v="4"/>
    <n v="3210"/>
    <n v="51360"/>
    <n v="24693.88"/>
    <n v="26666.12"/>
    <x v="2"/>
    <x v="2"/>
    <x v="4"/>
    <x v="153"/>
    <s v="Alta"/>
  </r>
  <r>
    <n v="2"/>
    <x v="28"/>
    <x v="0"/>
    <x v="0"/>
    <x v="1"/>
    <n v="8489"/>
    <x v="0"/>
    <x v="4"/>
    <x v="1"/>
    <n v="2688"/>
    <n v="51072"/>
    <n v="36405.99"/>
    <n v="14666.01"/>
    <x v="1"/>
    <x v="1"/>
    <x v="4"/>
    <x v="154"/>
    <s v="Média"/>
  </r>
  <r>
    <n v="931"/>
    <x v="34"/>
    <x v="1"/>
    <x v="4"/>
    <x v="2"/>
    <n v="9947"/>
    <x v="1"/>
    <x v="0"/>
    <x v="7"/>
    <n v="3925"/>
    <n v="51025"/>
    <n v="22596.62"/>
    <n v="28428.38"/>
    <x v="1"/>
    <x v="1"/>
    <x v="3"/>
    <x v="155"/>
    <s v="Alta"/>
  </r>
  <r>
    <n v="383"/>
    <x v="104"/>
    <x v="2"/>
    <x v="3"/>
    <x v="3"/>
    <n v="8034"/>
    <x v="1"/>
    <x v="3"/>
    <x v="1"/>
    <n v="2684"/>
    <n v="50996"/>
    <n v="25869.86"/>
    <n v="25126.14"/>
    <x v="1"/>
    <x v="1"/>
    <x v="2"/>
    <x v="156"/>
    <s v="Alta"/>
  </r>
  <r>
    <n v="832"/>
    <x v="23"/>
    <x v="1"/>
    <x v="1"/>
    <x v="2"/>
    <n v="7865"/>
    <x v="1"/>
    <x v="2"/>
    <x v="0"/>
    <n v="2548"/>
    <n v="50960"/>
    <n v="32136.63"/>
    <n v="18823.37"/>
    <x v="0"/>
    <x v="2"/>
    <x v="4"/>
    <x v="157"/>
    <s v="Média"/>
  </r>
  <r>
    <n v="883"/>
    <x v="105"/>
    <x v="1"/>
    <x v="1"/>
    <x v="1"/>
    <n v="5598"/>
    <x v="0"/>
    <x v="1"/>
    <x v="3"/>
    <n v="2996"/>
    <n v="50932"/>
    <n v="30368.26"/>
    <n v="20563.740000000002"/>
    <x v="1"/>
    <x v="2"/>
    <x v="3"/>
    <x v="158"/>
    <s v="Alta"/>
  </r>
  <r>
    <n v="825"/>
    <x v="30"/>
    <x v="2"/>
    <x v="3"/>
    <x v="3"/>
    <n v="2456"/>
    <x v="0"/>
    <x v="3"/>
    <x v="6"/>
    <n v="3637"/>
    <n v="50918"/>
    <n v="34551.949999999997"/>
    <n v="16366.05"/>
    <x v="1"/>
    <x v="2"/>
    <x v="4"/>
    <x v="159"/>
    <s v="Média"/>
  </r>
  <r>
    <n v="718"/>
    <x v="69"/>
    <x v="0"/>
    <x v="0"/>
    <x v="1"/>
    <n v="1316"/>
    <x v="0"/>
    <x v="3"/>
    <x v="8"/>
    <n v="4235"/>
    <n v="50820"/>
    <n v="21312.65"/>
    <n v="29507.35"/>
    <x v="2"/>
    <x v="1"/>
    <x v="1"/>
    <x v="160"/>
    <s v="Alta"/>
  </r>
  <r>
    <n v="657"/>
    <x v="106"/>
    <x v="0"/>
    <x v="3"/>
    <x v="0"/>
    <n v="9109"/>
    <x v="2"/>
    <x v="3"/>
    <x v="7"/>
    <n v="3892"/>
    <n v="50596"/>
    <n v="23990.34"/>
    <n v="26605.66"/>
    <x v="1"/>
    <x v="1"/>
    <x v="2"/>
    <x v="161"/>
    <s v="Alta"/>
  </r>
  <r>
    <n v="776"/>
    <x v="107"/>
    <x v="2"/>
    <x v="1"/>
    <x v="1"/>
    <n v="5099"/>
    <x v="1"/>
    <x v="2"/>
    <x v="7"/>
    <n v="3872"/>
    <n v="50336"/>
    <n v="22111.439999999999"/>
    <n v="28224.560000000001"/>
    <x v="0"/>
    <x v="1"/>
    <x v="1"/>
    <x v="162"/>
    <s v="Alta"/>
  </r>
  <r>
    <n v="524"/>
    <x v="43"/>
    <x v="0"/>
    <x v="3"/>
    <x v="3"/>
    <n v="9458"/>
    <x v="0"/>
    <x v="4"/>
    <x v="1"/>
    <n v="2647"/>
    <n v="50293"/>
    <n v="32543.54"/>
    <n v="17749.46"/>
    <x v="0"/>
    <x v="0"/>
    <x v="1"/>
    <x v="163"/>
    <s v="Média"/>
  </r>
  <r>
    <n v="299"/>
    <x v="97"/>
    <x v="2"/>
    <x v="2"/>
    <x v="0"/>
    <n v="7037"/>
    <x v="1"/>
    <x v="1"/>
    <x v="5"/>
    <n v="3351"/>
    <n v="50265"/>
    <n v="40059.67"/>
    <n v="10205.33"/>
    <x v="0"/>
    <x v="2"/>
    <x v="3"/>
    <x v="164"/>
    <s v="Média"/>
  </r>
  <r>
    <n v="812"/>
    <x v="65"/>
    <x v="3"/>
    <x v="3"/>
    <x v="2"/>
    <n v="9770"/>
    <x v="2"/>
    <x v="0"/>
    <x v="1"/>
    <n v="2645"/>
    <n v="50255"/>
    <n v="22519.02"/>
    <n v="27735.98"/>
    <x v="0"/>
    <x v="2"/>
    <x v="1"/>
    <x v="165"/>
    <s v="Alta"/>
  </r>
  <r>
    <n v="562"/>
    <x v="108"/>
    <x v="3"/>
    <x v="4"/>
    <x v="2"/>
    <n v="5570"/>
    <x v="0"/>
    <x v="3"/>
    <x v="0"/>
    <n v="2502"/>
    <n v="50040"/>
    <n v="31339.89"/>
    <n v="18700.11"/>
    <x v="0"/>
    <x v="0"/>
    <x v="3"/>
    <x v="166"/>
    <s v="Média"/>
  </r>
  <r>
    <n v="67"/>
    <x v="28"/>
    <x v="3"/>
    <x v="2"/>
    <x v="3"/>
    <n v="7173"/>
    <x v="1"/>
    <x v="1"/>
    <x v="5"/>
    <n v="3335"/>
    <n v="50025"/>
    <n v="37538.49"/>
    <n v="12486.51"/>
    <x v="1"/>
    <x v="2"/>
    <x v="0"/>
    <x v="167"/>
    <s v="Média"/>
  </r>
  <r>
    <n v="510"/>
    <x v="50"/>
    <x v="2"/>
    <x v="1"/>
    <x v="2"/>
    <n v="4886"/>
    <x v="2"/>
    <x v="4"/>
    <x v="9"/>
    <n v="4514"/>
    <n v="49654"/>
    <n v="32528.28"/>
    <n v="17125.72"/>
    <x v="1"/>
    <x v="0"/>
    <x v="3"/>
    <x v="168"/>
    <s v="Média"/>
  </r>
  <r>
    <n v="420"/>
    <x v="107"/>
    <x v="2"/>
    <x v="0"/>
    <x v="3"/>
    <n v="9173"/>
    <x v="1"/>
    <x v="0"/>
    <x v="10"/>
    <n v="4964"/>
    <n v="49640"/>
    <n v="36761.120000000003"/>
    <n v="12878.88"/>
    <x v="0"/>
    <x v="1"/>
    <x v="4"/>
    <x v="169"/>
    <s v="Média"/>
  </r>
  <r>
    <n v="612"/>
    <x v="109"/>
    <x v="2"/>
    <x v="3"/>
    <x v="1"/>
    <n v="7661"/>
    <x v="2"/>
    <x v="4"/>
    <x v="10"/>
    <n v="4959"/>
    <n v="49590"/>
    <n v="25087.07"/>
    <n v="24502.93"/>
    <x v="2"/>
    <x v="0"/>
    <x v="1"/>
    <x v="170"/>
    <s v="Alta"/>
  </r>
  <r>
    <n v="509"/>
    <x v="110"/>
    <x v="1"/>
    <x v="3"/>
    <x v="3"/>
    <n v="3458"/>
    <x v="0"/>
    <x v="3"/>
    <x v="7"/>
    <n v="3812"/>
    <n v="49556"/>
    <n v="39516.33"/>
    <n v="10039.67"/>
    <x v="1"/>
    <x v="1"/>
    <x v="1"/>
    <x v="171"/>
    <s v="Média"/>
  </r>
  <r>
    <n v="139"/>
    <x v="47"/>
    <x v="3"/>
    <x v="0"/>
    <x v="0"/>
    <n v="6643"/>
    <x v="0"/>
    <x v="1"/>
    <x v="9"/>
    <n v="4486"/>
    <n v="49346"/>
    <n v="26411.93"/>
    <n v="22934.07"/>
    <x v="0"/>
    <x v="2"/>
    <x v="4"/>
    <x v="172"/>
    <s v="Alta"/>
  </r>
  <r>
    <n v="949"/>
    <x v="111"/>
    <x v="3"/>
    <x v="0"/>
    <x v="0"/>
    <n v="7829"/>
    <x v="1"/>
    <x v="3"/>
    <x v="3"/>
    <n v="2899"/>
    <n v="49283"/>
    <n v="38174.46"/>
    <n v="11108.54"/>
    <x v="0"/>
    <x v="1"/>
    <x v="3"/>
    <x v="173"/>
    <s v="Média"/>
  </r>
  <r>
    <n v="317"/>
    <x v="78"/>
    <x v="0"/>
    <x v="3"/>
    <x v="3"/>
    <n v="2826"/>
    <x v="1"/>
    <x v="2"/>
    <x v="2"/>
    <n v="2703"/>
    <n v="48654"/>
    <n v="20639.77"/>
    <n v="28014.23"/>
    <x v="0"/>
    <x v="2"/>
    <x v="1"/>
    <x v="174"/>
    <s v="Alta"/>
  </r>
  <r>
    <n v="385"/>
    <x v="112"/>
    <x v="2"/>
    <x v="4"/>
    <x v="2"/>
    <n v="4653"/>
    <x v="1"/>
    <x v="3"/>
    <x v="7"/>
    <n v="3741"/>
    <n v="48633"/>
    <n v="31453"/>
    <n v="17180"/>
    <x v="2"/>
    <x v="1"/>
    <x v="4"/>
    <x v="175"/>
    <s v="Média"/>
  </r>
  <r>
    <n v="541"/>
    <x v="109"/>
    <x v="2"/>
    <x v="4"/>
    <x v="2"/>
    <n v="5557"/>
    <x v="1"/>
    <x v="4"/>
    <x v="7"/>
    <n v="3723"/>
    <n v="48399"/>
    <n v="19867.84"/>
    <n v="28531.16"/>
    <x v="0"/>
    <x v="0"/>
    <x v="1"/>
    <x v="176"/>
    <s v="Alta"/>
  </r>
  <r>
    <n v="772"/>
    <x v="84"/>
    <x v="2"/>
    <x v="2"/>
    <x v="2"/>
    <n v="4380"/>
    <x v="0"/>
    <x v="4"/>
    <x v="8"/>
    <n v="4033"/>
    <n v="48396"/>
    <n v="20907.41"/>
    <n v="27488.59"/>
    <x v="0"/>
    <x v="2"/>
    <x v="2"/>
    <x v="177"/>
    <s v="Alta"/>
  </r>
  <r>
    <n v="343"/>
    <x v="113"/>
    <x v="0"/>
    <x v="4"/>
    <x v="0"/>
    <n v="2481"/>
    <x v="1"/>
    <x v="2"/>
    <x v="0"/>
    <n v="2413"/>
    <n v="48260"/>
    <n v="28607.279999999999"/>
    <n v="19652.72"/>
    <x v="1"/>
    <x v="0"/>
    <x v="2"/>
    <x v="178"/>
    <s v="Alta"/>
  </r>
  <r>
    <n v="515"/>
    <x v="114"/>
    <x v="3"/>
    <x v="1"/>
    <x v="2"/>
    <n v="1259"/>
    <x v="0"/>
    <x v="2"/>
    <x v="2"/>
    <n v="2681"/>
    <n v="48258"/>
    <n v="22000.06"/>
    <n v="26257.94"/>
    <x v="2"/>
    <x v="1"/>
    <x v="1"/>
    <x v="179"/>
    <s v="Alta"/>
  </r>
  <r>
    <n v="221"/>
    <x v="115"/>
    <x v="0"/>
    <x v="3"/>
    <x v="0"/>
    <n v="1118"/>
    <x v="1"/>
    <x v="1"/>
    <x v="8"/>
    <n v="4017"/>
    <n v="48204"/>
    <n v="37010.089999999997"/>
    <n v="11193.91"/>
    <x v="0"/>
    <x v="1"/>
    <x v="3"/>
    <x v="180"/>
    <s v="Média"/>
  </r>
  <r>
    <n v="37"/>
    <x v="7"/>
    <x v="2"/>
    <x v="2"/>
    <x v="0"/>
    <n v="1890"/>
    <x v="2"/>
    <x v="1"/>
    <x v="8"/>
    <n v="4001"/>
    <n v="48012"/>
    <n v="21213.02"/>
    <n v="26798.98"/>
    <x v="2"/>
    <x v="0"/>
    <x v="0"/>
    <x v="181"/>
    <s v="Alta"/>
  </r>
  <r>
    <n v="118"/>
    <x v="116"/>
    <x v="1"/>
    <x v="0"/>
    <x v="1"/>
    <n v="7757"/>
    <x v="1"/>
    <x v="1"/>
    <x v="2"/>
    <n v="2664"/>
    <n v="47952"/>
    <n v="24376.07"/>
    <n v="23575.93"/>
    <x v="0"/>
    <x v="0"/>
    <x v="0"/>
    <x v="182"/>
    <s v="Alta"/>
  </r>
  <r>
    <n v="897"/>
    <x v="99"/>
    <x v="3"/>
    <x v="4"/>
    <x v="2"/>
    <n v="9607"/>
    <x v="0"/>
    <x v="2"/>
    <x v="8"/>
    <n v="3977"/>
    <n v="47724"/>
    <n v="21202.7"/>
    <n v="26521.3"/>
    <x v="0"/>
    <x v="1"/>
    <x v="3"/>
    <x v="183"/>
    <s v="Alta"/>
  </r>
  <r>
    <n v="958"/>
    <x v="110"/>
    <x v="1"/>
    <x v="4"/>
    <x v="2"/>
    <n v="2503"/>
    <x v="0"/>
    <x v="4"/>
    <x v="9"/>
    <n v="4336"/>
    <n v="47696"/>
    <n v="24059.360000000001"/>
    <n v="23636.639999999999"/>
    <x v="0"/>
    <x v="2"/>
    <x v="0"/>
    <x v="184"/>
    <s v="Alta"/>
  </r>
  <r>
    <n v="137"/>
    <x v="42"/>
    <x v="3"/>
    <x v="2"/>
    <x v="2"/>
    <n v="7352"/>
    <x v="2"/>
    <x v="3"/>
    <x v="6"/>
    <n v="3402"/>
    <n v="47628"/>
    <n v="24391.87"/>
    <n v="23236.13"/>
    <x v="2"/>
    <x v="0"/>
    <x v="2"/>
    <x v="185"/>
    <s v="Alta"/>
  </r>
  <r>
    <n v="423"/>
    <x v="117"/>
    <x v="2"/>
    <x v="4"/>
    <x v="1"/>
    <n v="9159"/>
    <x v="0"/>
    <x v="0"/>
    <x v="6"/>
    <n v="3398"/>
    <n v="47572"/>
    <n v="28461.16"/>
    <n v="19110.84"/>
    <x v="0"/>
    <x v="1"/>
    <x v="4"/>
    <x v="186"/>
    <s v="Alta"/>
  </r>
  <r>
    <n v="294"/>
    <x v="118"/>
    <x v="1"/>
    <x v="0"/>
    <x v="2"/>
    <n v="9595"/>
    <x v="2"/>
    <x v="1"/>
    <x v="5"/>
    <n v="3164"/>
    <n v="47460"/>
    <n v="20005.240000000002"/>
    <n v="27454.76"/>
    <x v="0"/>
    <x v="1"/>
    <x v="2"/>
    <x v="187"/>
    <s v="Alta"/>
  </r>
  <r>
    <n v="522"/>
    <x v="119"/>
    <x v="0"/>
    <x v="1"/>
    <x v="0"/>
    <n v="8814"/>
    <x v="0"/>
    <x v="2"/>
    <x v="5"/>
    <n v="3159"/>
    <n v="47385"/>
    <n v="24809.99"/>
    <n v="22575.01"/>
    <x v="0"/>
    <x v="1"/>
    <x v="3"/>
    <x v="188"/>
    <s v="Alta"/>
  </r>
  <r>
    <n v="203"/>
    <x v="34"/>
    <x v="3"/>
    <x v="0"/>
    <x v="1"/>
    <n v="1535"/>
    <x v="2"/>
    <x v="4"/>
    <x v="3"/>
    <n v="2772"/>
    <n v="47124"/>
    <n v="19621.560000000001"/>
    <n v="27502.44"/>
    <x v="1"/>
    <x v="0"/>
    <x v="3"/>
    <x v="189"/>
    <s v="Alta"/>
  </r>
  <r>
    <n v="806"/>
    <x v="120"/>
    <x v="0"/>
    <x v="4"/>
    <x v="0"/>
    <n v="2575"/>
    <x v="0"/>
    <x v="4"/>
    <x v="2"/>
    <n v="2615"/>
    <n v="47070"/>
    <n v="26596.86"/>
    <n v="20473.14"/>
    <x v="1"/>
    <x v="1"/>
    <x v="4"/>
    <x v="190"/>
    <s v="Alta"/>
  </r>
  <r>
    <n v="918"/>
    <x v="121"/>
    <x v="3"/>
    <x v="1"/>
    <x v="3"/>
    <n v="2630"/>
    <x v="1"/>
    <x v="1"/>
    <x v="5"/>
    <n v="3133"/>
    <n v="46995"/>
    <n v="20107.62"/>
    <n v="26887.38"/>
    <x v="1"/>
    <x v="1"/>
    <x v="0"/>
    <x v="191"/>
    <s v="Alta"/>
  </r>
  <r>
    <n v="659"/>
    <x v="8"/>
    <x v="0"/>
    <x v="3"/>
    <x v="0"/>
    <n v="2349"/>
    <x v="2"/>
    <x v="4"/>
    <x v="10"/>
    <n v="4698"/>
    <n v="46980"/>
    <n v="26978.49"/>
    <n v="20001.509999999998"/>
    <x v="0"/>
    <x v="0"/>
    <x v="3"/>
    <x v="192"/>
    <s v="Alta"/>
  </r>
  <r>
    <n v="267"/>
    <x v="122"/>
    <x v="3"/>
    <x v="2"/>
    <x v="2"/>
    <n v="8792"/>
    <x v="2"/>
    <x v="1"/>
    <x v="4"/>
    <n v="2932"/>
    <n v="46912"/>
    <n v="35957.71"/>
    <n v="10954.29"/>
    <x v="2"/>
    <x v="2"/>
    <x v="1"/>
    <x v="193"/>
    <s v="Média"/>
  </r>
  <r>
    <n v="514"/>
    <x v="123"/>
    <x v="2"/>
    <x v="1"/>
    <x v="2"/>
    <n v="6600"/>
    <x v="2"/>
    <x v="4"/>
    <x v="8"/>
    <n v="3872"/>
    <n v="46464"/>
    <n v="36502.83"/>
    <n v="9961.17"/>
    <x v="1"/>
    <x v="0"/>
    <x v="4"/>
    <x v="194"/>
    <s v="Média"/>
  </r>
  <r>
    <n v="741"/>
    <x v="111"/>
    <x v="2"/>
    <x v="2"/>
    <x v="0"/>
    <n v="5119"/>
    <x v="2"/>
    <x v="2"/>
    <x v="1"/>
    <n v="2444"/>
    <n v="46436"/>
    <n v="18761.32"/>
    <n v="27674.68"/>
    <x v="1"/>
    <x v="1"/>
    <x v="4"/>
    <x v="195"/>
    <s v="Alta"/>
  </r>
  <r>
    <n v="900"/>
    <x v="8"/>
    <x v="2"/>
    <x v="4"/>
    <x v="3"/>
    <n v="7155"/>
    <x v="1"/>
    <x v="4"/>
    <x v="5"/>
    <n v="3088"/>
    <n v="46320"/>
    <n v="22861.67"/>
    <n v="23458.33"/>
    <x v="2"/>
    <x v="1"/>
    <x v="2"/>
    <x v="196"/>
    <s v="Alta"/>
  </r>
  <r>
    <n v="955"/>
    <x v="124"/>
    <x v="0"/>
    <x v="1"/>
    <x v="0"/>
    <n v="3943"/>
    <x v="0"/>
    <x v="2"/>
    <x v="4"/>
    <n v="2892"/>
    <n v="46272"/>
    <n v="32303.7"/>
    <n v="13968.3"/>
    <x v="1"/>
    <x v="2"/>
    <x v="4"/>
    <x v="197"/>
    <s v="Média"/>
  </r>
  <r>
    <n v="237"/>
    <x v="8"/>
    <x v="1"/>
    <x v="2"/>
    <x v="0"/>
    <n v="8202"/>
    <x v="1"/>
    <x v="3"/>
    <x v="7"/>
    <n v="3555"/>
    <n v="46215"/>
    <n v="31293.65"/>
    <n v="14921.35"/>
    <x v="0"/>
    <x v="0"/>
    <x v="0"/>
    <x v="198"/>
    <s v="Média"/>
  </r>
  <r>
    <n v="529"/>
    <x v="125"/>
    <x v="3"/>
    <x v="2"/>
    <x v="2"/>
    <n v="9598"/>
    <x v="2"/>
    <x v="2"/>
    <x v="6"/>
    <n v="3288"/>
    <n v="46032"/>
    <n v="25028.16"/>
    <n v="21003.84"/>
    <x v="0"/>
    <x v="0"/>
    <x v="1"/>
    <x v="199"/>
    <s v="Alta"/>
  </r>
  <r>
    <n v="319"/>
    <x v="76"/>
    <x v="2"/>
    <x v="3"/>
    <x v="1"/>
    <n v="4066"/>
    <x v="2"/>
    <x v="1"/>
    <x v="1"/>
    <n v="2421"/>
    <n v="45999"/>
    <n v="28074.33"/>
    <n v="17924.669999999998"/>
    <x v="2"/>
    <x v="0"/>
    <x v="0"/>
    <x v="200"/>
    <s v="Média"/>
  </r>
  <r>
    <n v="273"/>
    <x v="126"/>
    <x v="2"/>
    <x v="3"/>
    <x v="0"/>
    <n v="7369"/>
    <x v="2"/>
    <x v="1"/>
    <x v="9"/>
    <n v="4170"/>
    <n v="45870"/>
    <n v="20725.14"/>
    <n v="25144.86"/>
    <x v="1"/>
    <x v="1"/>
    <x v="4"/>
    <x v="201"/>
    <s v="Alta"/>
  </r>
  <r>
    <n v="201"/>
    <x v="116"/>
    <x v="1"/>
    <x v="3"/>
    <x v="0"/>
    <n v="4691"/>
    <x v="0"/>
    <x v="2"/>
    <x v="5"/>
    <n v="3042"/>
    <n v="45630"/>
    <n v="21141.09"/>
    <n v="24488.91"/>
    <x v="2"/>
    <x v="1"/>
    <x v="1"/>
    <x v="202"/>
    <s v="Alta"/>
  </r>
  <r>
    <n v="725"/>
    <x v="21"/>
    <x v="0"/>
    <x v="3"/>
    <x v="1"/>
    <n v="7981"/>
    <x v="1"/>
    <x v="4"/>
    <x v="0"/>
    <n v="2281"/>
    <n v="45620"/>
    <n v="18466.87"/>
    <n v="27153.13"/>
    <x v="1"/>
    <x v="1"/>
    <x v="2"/>
    <x v="203"/>
    <s v="Alta"/>
  </r>
  <r>
    <n v="22"/>
    <x v="43"/>
    <x v="2"/>
    <x v="0"/>
    <x v="1"/>
    <n v="5399"/>
    <x v="1"/>
    <x v="3"/>
    <x v="4"/>
    <n v="2850"/>
    <n v="45600"/>
    <n v="32374.880000000001"/>
    <n v="13225.12"/>
    <x v="2"/>
    <x v="0"/>
    <x v="4"/>
    <x v="204"/>
    <s v="Média"/>
  </r>
  <r>
    <n v="957"/>
    <x v="94"/>
    <x v="3"/>
    <x v="4"/>
    <x v="0"/>
    <n v="7470"/>
    <x v="1"/>
    <x v="0"/>
    <x v="10"/>
    <n v="4547"/>
    <n v="45470"/>
    <n v="29653.05"/>
    <n v="15816.95"/>
    <x v="2"/>
    <x v="1"/>
    <x v="2"/>
    <x v="205"/>
    <s v="Média"/>
  </r>
  <r>
    <n v="81"/>
    <x v="127"/>
    <x v="1"/>
    <x v="4"/>
    <x v="1"/>
    <n v="6996"/>
    <x v="0"/>
    <x v="2"/>
    <x v="1"/>
    <n v="2389"/>
    <n v="45391"/>
    <n v="36136.28"/>
    <n v="9254.7199999999993"/>
    <x v="0"/>
    <x v="2"/>
    <x v="3"/>
    <x v="206"/>
    <s v="Média"/>
  </r>
  <r>
    <n v="770"/>
    <x v="128"/>
    <x v="3"/>
    <x v="4"/>
    <x v="1"/>
    <n v="4989"/>
    <x v="2"/>
    <x v="2"/>
    <x v="6"/>
    <n v="3226"/>
    <n v="45164"/>
    <n v="34349.550000000003"/>
    <n v="10814.45"/>
    <x v="1"/>
    <x v="2"/>
    <x v="2"/>
    <x v="207"/>
    <s v="Média"/>
  </r>
  <r>
    <n v="119"/>
    <x v="53"/>
    <x v="0"/>
    <x v="0"/>
    <x v="3"/>
    <n v="4786"/>
    <x v="2"/>
    <x v="3"/>
    <x v="4"/>
    <n v="2819"/>
    <n v="45104"/>
    <n v="26325.95"/>
    <n v="18778.05"/>
    <x v="0"/>
    <x v="0"/>
    <x v="1"/>
    <x v="208"/>
    <s v="Alta"/>
  </r>
  <r>
    <n v="209"/>
    <x v="23"/>
    <x v="2"/>
    <x v="3"/>
    <x v="3"/>
    <n v="6866"/>
    <x v="0"/>
    <x v="2"/>
    <x v="11"/>
    <n v="4990"/>
    <n v="44910"/>
    <n v="21849.200000000001"/>
    <n v="23060.799999999999"/>
    <x v="0"/>
    <x v="2"/>
    <x v="2"/>
    <x v="209"/>
    <s v="Alta"/>
  </r>
  <r>
    <n v="951"/>
    <x v="48"/>
    <x v="2"/>
    <x v="3"/>
    <x v="3"/>
    <n v="7212"/>
    <x v="0"/>
    <x v="2"/>
    <x v="5"/>
    <n v="2993"/>
    <n v="44895"/>
    <n v="25317.86"/>
    <n v="19577.14"/>
    <x v="2"/>
    <x v="2"/>
    <x v="4"/>
    <x v="210"/>
    <s v="Alta"/>
  </r>
  <r>
    <n v="457"/>
    <x v="73"/>
    <x v="2"/>
    <x v="4"/>
    <x v="3"/>
    <n v="1947"/>
    <x v="0"/>
    <x v="2"/>
    <x v="6"/>
    <n v="3206"/>
    <n v="44884"/>
    <n v="33523.360000000001"/>
    <n v="11360.64"/>
    <x v="2"/>
    <x v="0"/>
    <x v="4"/>
    <x v="211"/>
    <s v="Média"/>
  </r>
  <r>
    <n v="242"/>
    <x v="129"/>
    <x v="2"/>
    <x v="2"/>
    <x v="1"/>
    <n v="2784"/>
    <x v="1"/>
    <x v="1"/>
    <x v="9"/>
    <n v="4061"/>
    <n v="44671"/>
    <n v="19212.46"/>
    <n v="25458.54"/>
    <x v="0"/>
    <x v="1"/>
    <x v="4"/>
    <x v="212"/>
    <s v="Alta"/>
  </r>
  <r>
    <n v="418"/>
    <x v="16"/>
    <x v="2"/>
    <x v="1"/>
    <x v="3"/>
    <n v="7203"/>
    <x v="2"/>
    <x v="1"/>
    <x v="10"/>
    <n v="4455"/>
    <n v="44550"/>
    <n v="26358.9"/>
    <n v="18191.099999999999"/>
    <x v="1"/>
    <x v="2"/>
    <x v="0"/>
    <x v="213"/>
    <s v="Alta"/>
  </r>
  <r>
    <n v="965"/>
    <x v="130"/>
    <x v="1"/>
    <x v="4"/>
    <x v="0"/>
    <n v="7970"/>
    <x v="1"/>
    <x v="3"/>
    <x v="7"/>
    <n v="3422"/>
    <n v="44486"/>
    <n v="30944.240000000002"/>
    <n v="13541.76"/>
    <x v="0"/>
    <x v="1"/>
    <x v="3"/>
    <x v="214"/>
    <s v="Média"/>
  </r>
  <r>
    <n v="546"/>
    <x v="127"/>
    <x v="2"/>
    <x v="0"/>
    <x v="3"/>
    <n v="6032"/>
    <x v="1"/>
    <x v="0"/>
    <x v="8"/>
    <n v="3679"/>
    <n v="44148"/>
    <n v="23799.42"/>
    <n v="20348.580000000002"/>
    <x v="1"/>
    <x v="2"/>
    <x v="4"/>
    <x v="215"/>
    <s v="Alta"/>
  </r>
  <r>
    <n v="406"/>
    <x v="117"/>
    <x v="0"/>
    <x v="0"/>
    <x v="3"/>
    <n v="9913"/>
    <x v="2"/>
    <x v="4"/>
    <x v="7"/>
    <n v="3384"/>
    <n v="43992"/>
    <n v="22853.39"/>
    <n v="21138.61"/>
    <x v="1"/>
    <x v="0"/>
    <x v="3"/>
    <x v="216"/>
    <s v="Alta"/>
  </r>
  <r>
    <n v="449"/>
    <x v="57"/>
    <x v="2"/>
    <x v="0"/>
    <x v="3"/>
    <n v="9748"/>
    <x v="1"/>
    <x v="1"/>
    <x v="10"/>
    <n v="4399"/>
    <n v="43990"/>
    <n v="18541.599999999999"/>
    <n v="25448.400000000001"/>
    <x v="2"/>
    <x v="0"/>
    <x v="0"/>
    <x v="217"/>
    <s v="Alta"/>
  </r>
  <r>
    <n v="880"/>
    <x v="64"/>
    <x v="0"/>
    <x v="2"/>
    <x v="2"/>
    <n v="5404"/>
    <x v="0"/>
    <x v="4"/>
    <x v="7"/>
    <n v="3379"/>
    <n v="43927"/>
    <n v="29839.33"/>
    <n v="14087.67"/>
    <x v="1"/>
    <x v="1"/>
    <x v="3"/>
    <x v="218"/>
    <s v="Média"/>
  </r>
  <r>
    <n v="505"/>
    <x v="108"/>
    <x v="2"/>
    <x v="3"/>
    <x v="2"/>
    <n v="6508"/>
    <x v="2"/>
    <x v="3"/>
    <x v="11"/>
    <n v="4874"/>
    <n v="43866"/>
    <n v="24133.02"/>
    <n v="19732.98"/>
    <x v="1"/>
    <x v="1"/>
    <x v="4"/>
    <x v="219"/>
    <s v="Alta"/>
  </r>
  <r>
    <n v="724"/>
    <x v="85"/>
    <x v="1"/>
    <x v="2"/>
    <x v="1"/>
    <n v="4978"/>
    <x v="0"/>
    <x v="3"/>
    <x v="1"/>
    <n v="2299"/>
    <n v="43681"/>
    <n v="24366.43"/>
    <n v="19314.57"/>
    <x v="2"/>
    <x v="2"/>
    <x v="4"/>
    <x v="220"/>
    <s v="Alta"/>
  </r>
  <r>
    <n v="34"/>
    <x v="131"/>
    <x v="2"/>
    <x v="4"/>
    <x v="0"/>
    <n v="5625"/>
    <x v="1"/>
    <x v="4"/>
    <x v="4"/>
    <n v="2726"/>
    <n v="43616"/>
    <n v="33314.15"/>
    <n v="10301.85"/>
    <x v="2"/>
    <x v="1"/>
    <x v="4"/>
    <x v="221"/>
    <s v="Média"/>
  </r>
  <r>
    <n v="134"/>
    <x v="132"/>
    <x v="0"/>
    <x v="3"/>
    <x v="1"/>
    <n v="8949"/>
    <x v="1"/>
    <x v="2"/>
    <x v="11"/>
    <n v="4837"/>
    <n v="43533"/>
    <n v="29112.81"/>
    <n v="14420.19"/>
    <x v="1"/>
    <x v="1"/>
    <x v="2"/>
    <x v="222"/>
    <s v="Média"/>
  </r>
  <r>
    <n v="947"/>
    <x v="99"/>
    <x v="3"/>
    <x v="0"/>
    <x v="0"/>
    <n v="6615"/>
    <x v="2"/>
    <x v="4"/>
    <x v="2"/>
    <n v="2415"/>
    <n v="43470"/>
    <n v="24797.47"/>
    <n v="18672.53"/>
    <x v="0"/>
    <x v="1"/>
    <x v="4"/>
    <x v="223"/>
    <s v="Alta"/>
  </r>
  <r>
    <n v="473"/>
    <x v="88"/>
    <x v="2"/>
    <x v="4"/>
    <x v="3"/>
    <n v="9363"/>
    <x v="0"/>
    <x v="0"/>
    <x v="6"/>
    <n v="3101"/>
    <n v="43414"/>
    <n v="24074.06"/>
    <n v="19339.939999999999"/>
    <x v="2"/>
    <x v="1"/>
    <x v="3"/>
    <x v="224"/>
    <s v="Alta"/>
  </r>
  <r>
    <n v="936"/>
    <x v="99"/>
    <x v="2"/>
    <x v="1"/>
    <x v="3"/>
    <n v="5425"/>
    <x v="2"/>
    <x v="3"/>
    <x v="4"/>
    <n v="2707"/>
    <n v="43312"/>
    <n v="22996.799999999999"/>
    <n v="20315.2"/>
    <x v="2"/>
    <x v="0"/>
    <x v="2"/>
    <x v="225"/>
    <s v="Alta"/>
  </r>
  <r>
    <n v="107"/>
    <x v="114"/>
    <x v="0"/>
    <x v="1"/>
    <x v="0"/>
    <n v="5348"/>
    <x v="0"/>
    <x v="2"/>
    <x v="9"/>
    <n v="3937"/>
    <n v="43307"/>
    <n v="27254.06"/>
    <n v="16052.94"/>
    <x v="1"/>
    <x v="0"/>
    <x v="4"/>
    <x v="226"/>
    <s v="Média"/>
  </r>
  <r>
    <n v="483"/>
    <x v="37"/>
    <x v="3"/>
    <x v="1"/>
    <x v="2"/>
    <n v="6197"/>
    <x v="2"/>
    <x v="4"/>
    <x v="6"/>
    <n v="3085"/>
    <n v="43190"/>
    <n v="26359.279999999999"/>
    <n v="16830.72"/>
    <x v="2"/>
    <x v="1"/>
    <x v="1"/>
    <x v="227"/>
    <s v="Média"/>
  </r>
  <r>
    <n v="871"/>
    <x v="39"/>
    <x v="2"/>
    <x v="3"/>
    <x v="3"/>
    <n v="2318"/>
    <x v="0"/>
    <x v="3"/>
    <x v="4"/>
    <n v="2697"/>
    <n v="43152"/>
    <n v="24253.040000000001"/>
    <n v="18898.96"/>
    <x v="0"/>
    <x v="2"/>
    <x v="1"/>
    <x v="228"/>
    <s v="Alta"/>
  </r>
  <r>
    <n v="836"/>
    <x v="133"/>
    <x v="1"/>
    <x v="3"/>
    <x v="2"/>
    <n v="9663"/>
    <x v="0"/>
    <x v="3"/>
    <x v="1"/>
    <n v="2264"/>
    <n v="43016"/>
    <n v="30384.83"/>
    <n v="12631.17"/>
    <x v="2"/>
    <x v="1"/>
    <x v="2"/>
    <x v="229"/>
    <s v="Média"/>
  </r>
  <r>
    <n v="58"/>
    <x v="134"/>
    <x v="2"/>
    <x v="2"/>
    <x v="1"/>
    <n v="3587"/>
    <x v="1"/>
    <x v="3"/>
    <x v="3"/>
    <n v="2525"/>
    <n v="42925"/>
    <n v="31034.78"/>
    <n v="11890.22"/>
    <x v="2"/>
    <x v="0"/>
    <x v="4"/>
    <x v="230"/>
    <s v="Média"/>
  </r>
  <r>
    <n v="560"/>
    <x v="65"/>
    <x v="0"/>
    <x v="0"/>
    <x v="2"/>
    <n v="6759"/>
    <x v="2"/>
    <x v="3"/>
    <x v="9"/>
    <n v="3901"/>
    <n v="42911"/>
    <n v="17203.400000000001"/>
    <n v="25707.599999999999"/>
    <x v="0"/>
    <x v="1"/>
    <x v="0"/>
    <x v="231"/>
    <s v="Alta"/>
  </r>
  <r>
    <n v="665"/>
    <x v="70"/>
    <x v="2"/>
    <x v="1"/>
    <x v="2"/>
    <n v="6741"/>
    <x v="0"/>
    <x v="2"/>
    <x v="3"/>
    <n v="2521"/>
    <n v="42857"/>
    <n v="34281.449999999997"/>
    <n v="8575.5499999999993"/>
    <x v="1"/>
    <x v="0"/>
    <x v="4"/>
    <x v="232"/>
    <s v="Média"/>
  </r>
  <r>
    <n v="286"/>
    <x v="90"/>
    <x v="2"/>
    <x v="2"/>
    <x v="1"/>
    <n v="1568"/>
    <x v="0"/>
    <x v="1"/>
    <x v="7"/>
    <n v="3287"/>
    <n v="42731"/>
    <n v="19667.650000000001"/>
    <n v="23063.35"/>
    <x v="1"/>
    <x v="0"/>
    <x v="2"/>
    <x v="233"/>
    <s v="Alta"/>
  </r>
  <r>
    <n v="121"/>
    <x v="37"/>
    <x v="0"/>
    <x v="0"/>
    <x v="2"/>
    <n v="4673"/>
    <x v="1"/>
    <x v="0"/>
    <x v="6"/>
    <n v="3051"/>
    <n v="42714"/>
    <n v="25454.43"/>
    <n v="17259.57"/>
    <x v="2"/>
    <x v="2"/>
    <x v="2"/>
    <x v="234"/>
    <s v="Alta"/>
  </r>
  <r>
    <n v="912"/>
    <x v="74"/>
    <x v="2"/>
    <x v="0"/>
    <x v="1"/>
    <n v="9005"/>
    <x v="2"/>
    <x v="0"/>
    <x v="6"/>
    <n v="3046"/>
    <n v="42644"/>
    <n v="31418.99"/>
    <n v="11225.01"/>
    <x v="2"/>
    <x v="1"/>
    <x v="2"/>
    <x v="235"/>
    <s v="Média"/>
  </r>
  <r>
    <n v="652"/>
    <x v="82"/>
    <x v="1"/>
    <x v="0"/>
    <x v="3"/>
    <n v="5021"/>
    <x v="1"/>
    <x v="0"/>
    <x v="4"/>
    <n v="2662"/>
    <n v="42592"/>
    <n v="33783.32"/>
    <n v="8808.68"/>
    <x v="1"/>
    <x v="1"/>
    <x v="4"/>
    <x v="236"/>
    <s v="Média"/>
  </r>
  <r>
    <n v="863"/>
    <x v="89"/>
    <x v="0"/>
    <x v="4"/>
    <x v="3"/>
    <n v="6294"/>
    <x v="1"/>
    <x v="2"/>
    <x v="2"/>
    <n v="2363"/>
    <n v="42534"/>
    <n v="25675.37"/>
    <n v="16858.63"/>
    <x v="0"/>
    <x v="0"/>
    <x v="0"/>
    <x v="237"/>
    <s v="Média"/>
  </r>
  <r>
    <n v="873"/>
    <x v="53"/>
    <x v="1"/>
    <x v="3"/>
    <x v="2"/>
    <n v="2907"/>
    <x v="0"/>
    <x v="2"/>
    <x v="11"/>
    <n v="4726"/>
    <n v="42534"/>
    <n v="26499.360000000001"/>
    <n v="16034.64"/>
    <x v="0"/>
    <x v="1"/>
    <x v="2"/>
    <x v="238"/>
    <s v="Média"/>
  </r>
  <r>
    <n v="361"/>
    <x v="15"/>
    <x v="2"/>
    <x v="3"/>
    <x v="3"/>
    <n v="4954"/>
    <x v="2"/>
    <x v="4"/>
    <x v="5"/>
    <n v="2833"/>
    <n v="42495"/>
    <n v="27945.68"/>
    <n v="14549.32"/>
    <x v="0"/>
    <x v="2"/>
    <x v="0"/>
    <x v="239"/>
    <s v="Média"/>
  </r>
  <r>
    <n v="948"/>
    <x v="87"/>
    <x v="3"/>
    <x v="1"/>
    <x v="1"/>
    <n v="8040"/>
    <x v="1"/>
    <x v="4"/>
    <x v="5"/>
    <n v="2831"/>
    <n v="42465"/>
    <n v="26247.01"/>
    <n v="16217.99"/>
    <x v="0"/>
    <x v="0"/>
    <x v="3"/>
    <x v="240"/>
    <s v="Média"/>
  </r>
  <r>
    <n v="310"/>
    <x v="48"/>
    <x v="3"/>
    <x v="3"/>
    <x v="1"/>
    <n v="6903"/>
    <x v="1"/>
    <x v="0"/>
    <x v="4"/>
    <n v="2650"/>
    <n v="42400"/>
    <n v="25720.83"/>
    <n v="16679.169999999998"/>
    <x v="0"/>
    <x v="2"/>
    <x v="4"/>
    <x v="241"/>
    <s v="Média"/>
  </r>
  <r>
    <n v="21"/>
    <x v="114"/>
    <x v="2"/>
    <x v="0"/>
    <x v="2"/>
    <n v="9262"/>
    <x v="2"/>
    <x v="1"/>
    <x v="6"/>
    <n v="3007"/>
    <n v="42098"/>
    <n v="19719.490000000002"/>
    <n v="22378.51"/>
    <x v="2"/>
    <x v="2"/>
    <x v="1"/>
    <x v="242"/>
    <s v="Alta"/>
  </r>
  <r>
    <n v="816"/>
    <x v="73"/>
    <x v="3"/>
    <x v="1"/>
    <x v="0"/>
    <n v="8788"/>
    <x v="0"/>
    <x v="1"/>
    <x v="10"/>
    <n v="4191"/>
    <n v="41910"/>
    <n v="19468.02"/>
    <n v="22441.98"/>
    <x v="2"/>
    <x v="0"/>
    <x v="3"/>
    <x v="243"/>
    <s v="Alta"/>
  </r>
  <r>
    <n v="974"/>
    <x v="88"/>
    <x v="1"/>
    <x v="0"/>
    <x v="1"/>
    <n v="2571"/>
    <x v="2"/>
    <x v="3"/>
    <x v="9"/>
    <n v="3804"/>
    <n v="41844"/>
    <n v="31694.02"/>
    <n v="10149.98"/>
    <x v="0"/>
    <x v="2"/>
    <x v="3"/>
    <x v="244"/>
    <s v="Média"/>
  </r>
  <r>
    <n v="712"/>
    <x v="130"/>
    <x v="0"/>
    <x v="2"/>
    <x v="3"/>
    <n v="4781"/>
    <x v="2"/>
    <x v="2"/>
    <x v="1"/>
    <n v="2201"/>
    <n v="41819"/>
    <n v="30111.62"/>
    <n v="11707.38"/>
    <x v="2"/>
    <x v="2"/>
    <x v="2"/>
    <x v="245"/>
    <s v="Média"/>
  </r>
  <r>
    <n v="261"/>
    <x v="0"/>
    <x v="2"/>
    <x v="2"/>
    <x v="1"/>
    <n v="9641"/>
    <x v="2"/>
    <x v="1"/>
    <x v="11"/>
    <n v="4643"/>
    <n v="41787"/>
    <n v="25067.89"/>
    <n v="16719.11"/>
    <x v="1"/>
    <x v="2"/>
    <x v="0"/>
    <x v="246"/>
    <s v="Alta"/>
  </r>
  <r>
    <n v="156"/>
    <x v="135"/>
    <x v="2"/>
    <x v="4"/>
    <x v="1"/>
    <n v="5250"/>
    <x v="1"/>
    <x v="4"/>
    <x v="11"/>
    <n v="4642"/>
    <n v="41778"/>
    <n v="27248.37"/>
    <n v="14529.63"/>
    <x v="2"/>
    <x v="1"/>
    <x v="1"/>
    <x v="247"/>
    <s v="Média"/>
  </r>
  <r>
    <n v="8"/>
    <x v="91"/>
    <x v="0"/>
    <x v="0"/>
    <x v="3"/>
    <n v="6487"/>
    <x v="1"/>
    <x v="2"/>
    <x v="7"/>
    <n v="3201"/>
    <n v="41613"/>
    <n v="17858.849999999999"/>
    <n v="23754.15"/>
    <x v="0"/>
    <x v="1"/>
    <x v="3"/>
    <x v="248"/>
    <s v="Alta"/>
  </r>
  <r>
    <n v="924"/>
    <x v="2"/>
    <x v="3"/>
    <x v="0"/>
    <x v="1"/>
    <n v="9296"/>
    <x v="2"/>
    <x v="2"/>
    <x v="3"/>
    <n v="2435"/>
    <n v="41395"/>
    <n v="17623.77"/>
    <n v="23771.23"/>
    <x v="1"/>
    <x v="1"/>
    <x v="0"/>
    <x v="249"/>
    <s v="Alta"/>
  </r>
  <r>
    <n v="262"/>
    <x v="136"/>
    <x v="3"/>
    <x v="1"/>
    <x v="1"/>
    <n v="5128"/>
    <x v="1"/>
    <x v="1"/>
    <x v="1"/>
    <n v="2176"/>
    <n v="41344"/>
    <n v="17155.37"/>
    <n v="24188.63"/>
    <x v="2"/>
    <x v="0"/>
    <x v="4"/>
    <x v="250"/>
    <s v="Alta"/>
  </r>
  <r>
    <n v="219"/>
    <x v="13"/>
    <x v="2"/>
    <x v="0"/>
    <x v="1"/>
    <n v="1523"/>
    <x v="2"/>
    <x v="0"/>
    <x v="1"/>
    <n v="2164"/>
    <n v="41116"/>
    <n v="18742.189999999999"/>
    <n v="22373.81"/>
    <x v="1"/>
    <x v="1"/>
    <x v="3"/>
    <x v="251"/>
    <s v="Alta"/>
  </r>
  <r>
    <n v="661"/>
    <x v="124"/>
    <x v="1"/>
    <x v="3"/>
    <x v="2"/>
    <n v="3188"/>
    <x v="0"/>
    <x v="4"/>
    <x v="9"/>
    <n v="3729"/>
    <n v="41019"/>
    <n v="17166.39"/>
    <n v="23852.61"/>
    <x v="0"/>
    <x v="1"/>
    <x v="0"/>
    <x v="252"/>
    <s v="Alta"/>
  </r>
  <r>
    <n v="634"/>
    <x v="137"/>
    <x v="0"/>
    <x v="2"/>
    <x v="0"/>
    <n v="3032"/>
    <x v="1"/>
    <x v="4"/>
    <x v="0"/>
    <n v="2049"/>
    <n v="40980"/>
    <n v="17659.22"/>
    <n v="23320.78"/>
    <x v="2"/>
    <x v="0"/>
    <x v="4"/>
    <x v="253"/>
    <s v="Alta"/>
  </r>
  <r>
    <n v="787"/>
    <x v="132"/>
    <x v="1"/>
    <x v="0"/>
    <x v="2"/>
    <n v="5460"/>
    <x v="1"/>
    <x v="2"/>
    <x v="9"/>
    <n v="3704"/>
    <n v="40744"/>
    <n v="26924.48"/>
    <n v="13819.52"/>
    <x v="0"/>
    <x v="1"/>
    <x v="2"/>
    <x v="254"/>
    <s v="Média"/>
  </r>
  <r>
    <n v="841"/>
    <x v="59"/>
    <x v="2"/>
    <x v="0"/>
    <x v="1"/>
    <n v="4743"/>
    <x v="0"/>
    <x v="0"/>
    <x v="9"/>
    <n v="3674"/>
    <n v="40414"/>
    <n v="22507.11"/>
    <n v="17906.89"/>
    <x v="1"/>
    <x v="2"/>
    <x v="0"/>
    <x v="255"/>
    <s v="Alta"/>
  </r>
  <r>
    <n v="61"/>
    <x v="81"/>
    <x v="2"/>
    <x v="3"/>
    <x v="1"/>
    <n v="4150"/>
    <x v="0"/>
    <x v="4"/>
    <x v="10"/>
    <n v="4026"/>
    <n v="40260"/>
    <n v="26829.57"/>
    <n v="13430.43"/>
    <x v="0"/>
    <x v="0"/>
    <x v="2"/>
    <x v="256"/>
    <s v="Média"/>
  </r>
  <r>
    <n v="526"/>
    <x v="13"/>
    <x v="1"/>
    <x v="1"/>
    <x v="0"/>
    <n v="2063"/>
    <x v="1"/>
    <x v="2"/>
    <x v="10"/>
    <n v="4020"/>
    <n v="40200"/>
    <n v="24980.04"/>
    <n v="15219.96"/>
    <x v="1"/>
    <x v="2"/>
    <x v="4"/>
    <x v="257"/>
    <s v="Média"/>
  </r>
  <r>
    <n v="959"/>
    <x v="48"/>
    <x v="2"/>
    <x v="4"/>
    <x v="1"/>
    <n v="9364"/>
    <x v="1"/>
    <x v="3"/>
    <x v="3"/>
    <n v="2362"/>
    <n v="40154"/>
    <n v="16845.18"/>
    <n v="23308.82"/>
    <x v="1"/>
    <x v="1"/>
    <x v="4"/>
    <x v="258"/>
    <s v="Alta"/>
  </r>
  <r>
    <n v="46"/>
    <x v="25"/>
    <x v="2"/>
    <x v="4"/>
    <x v="2"/>
    <n v="9651"/>
    <x v="0"/>
    <x v="4"/>
    <x v="2"/>
    <n v="2230"/>
    <n v="40140"/>
    <n v="22977.81"/>
    <n v="17162.189999999999"/>
    <x v="0"/>
    <x v="0"/>
    <x v="0"/>
    <x v="259"/>
    <s v="Alta"/>
  </r>
  <r>
    <n v="417"/>
    <x v="114"/>
    <x v="2"/>
    <x v="3"/>
    <x v="1"/>
    <n v="2932"/>
    <x v="0"/>
    <x v="4"/>
    <x v="8"/>
    <n v="3342"/>
    <n v="40104"/>
    <n v="27751.69"/>
    <n v="12352.31"/>
    <x v="1"/>
    <x v="2"/>
    <x v="3"/>
    <x v="260"/>
    <s v="Média"/>
  </r>
  <r>
    <n v="853"/>
    <x v="88"/>
    <x v="3"/>
    <x v="2"/>
    <x v="3"/>
    <n v="9981"/>
    <x v="2"/>
    <x v="1"/>
    <x v="9"/>
    <n v="3645"/>
    <n v="40095"/>
    <n v="17609.599999999999"/>
    <n v="22485.4"/>
    <x v="1"/>
    <x v="2"/>
    <x v="3"/>
    <x v="261"/>
    <s v="Alta"/>
  </r>
  <r>
    <n v="194"/>
    <x v="104"/>
    <x v="3"/>
    <x v="0"/>
    <x v="2"/>
    <n v="4245"/>
    <x v="2"/>
    <x v="1"/>
    <x v="6"/>
    <n v="2863"/>
    <n v="40082"/>
    <n v="28570.87"/>
    <n v="11511.13"/>
    <x v="2"/>
    <x v="0"/>
    <x v="2"/>
    <x v="262"/>
    <s v="Média"/>
  </r>
  <r>
    <n v="583"/>
    <x v="83"/>
    <x v="3"/>
    <x v="4"/>
    <x v="1"/>
    <n v="7540"/>
    <x v="0"/>
    <x v="1"/>
    <x v="7"/>
    <n v="3076"/>
    <n v="39988"/>
    <n v="24250.48"/>
    <n v="15737.52"/>
    <x v="1"/>
    <x v="1"/>
    <x v="0"/>
    <x v="263"/>
    <s v="Média"/>
  </r>
  <r>
    <n v="504"/>
    <x v="138"/>
    <x v="1"/>
    <x v="3"/>
    <x v="2"/>
    <n v="6035"/>
    <x v="1"/>
    <x v="0"/>
    <x v="6"/>
    <n v="2853"/>
    <n v="39942"/>
    <n v="25916.080000000002"/>
    <n v="14025.92"/>
    <x v="2"/>
    <x v="2"/>
    <x v="3"/>
    <x v="264"/>
    <s v="Média"/>
  </r>
  <r>
    <n v="371"/>
    <x v="52"/>
    <x v="0"/>
    <x v="0"/>
    <x v="3"/>
    <n v="3335"/>
    <x v="1"/>
    <x v="3"/>
    <x v="12"/>
    <n v="4983"/>
    <n v="39864"/>
    <n v="25642.71"/>
    <n v="14221.29"/>
    <x v="2"/>
    <x v="1"/>
    <x v="0"/>
    <x v="265"/>
    <s v="Média"/>
  </r>
  <r>
    <n v="128"/>
    <x v="88"/>
    <x v="3"/>
    <x v="3"/>
    <x v="1"/>
    <n v="5031"/>
    <x v="0"/>
    <x v="2"/>
    <x v="11"/>
    <n v="4429"/>
    <n v="39861"/>
    <n v="27349.72"/>
    <n v="12511.28"/>
    <x v="0"/>
    <x v="2"/>
    <x v="2"/>
    <x v="266"/>
    <s v="Média"/>
  </r>
  <r>
    <n v="555"/>
    <x v="139"/>
    <x v="2"/>
    <x v="0"/>
    <x v="2"/>
    <n v="6794"/>
    <x v="1"/>
    <x v="1"/>
    <x v="4"/>
    <n v="2490"/>
    <n v="39840"/>
    <n v="29862.83"/>
    <n v="9977.17"/>
    <x v="0"/>
    <x v="0"/>
    <x v="1"/>
    <x v="267"/>
    <s v="Média"/>
  </r>
  <r>
    <n v="907"/>
    <x v="114"/>
    <x v="1"/>
    <x v="3"/>
    <x v="0"/>
    <n v="1419"/>
    <x v="0"/>
    <x v="2"/>
    <x v="2"/>
    <n v="2211"/>
    <n v="39798"/>
    <n v="16394.77"/>
    <n v="23403.23"/>
    <x v="2"/>
    <x v="1"/>
    <x v="3"/>
    <x v="268"/>
    <s v="Alta"/>
  </r>
  <r>
    <n v="148"/>
    <x v="55"/>
    <x v="3"/>
    <x v="0"/>
    <x v="1"/>
    <n v="8107"/>
    <x v="1"/>
    <x v="2"/>
    <x v="6"/>
    <n v="2836"/>
    <n v="39704"/>
    <n v="25455.96"/>
    <n v="14248.04"/>
    <x v="2"/>
    <x v="0"/>
    <x v="4"/>
    <x v="269"/>
    <s v="Média"/>
  </r>
  <r>
    <n v="409"/>
    <x v="70"/>
    <x v="2"/>
    <x v="0"/>
    <x v="0"/>
    <n v="9081"/>
    <x v="2"/>
    <x v="2"/>
    <x v="10"/>
    <n v="3951"/>
    <n v="39510"/>
    <n v="30610.44"/>
    <n v="8899.56"/>
    <x v="1"/>
    <x v="0"/>
    <x v="4"/>
    <x v="270"/>
    <s v="Média"/>
  </r>
  <r>
    <n v="987"/>
    <x v="140"/>
    <x v="1"/>
    <x v="2"/>
    <x v="1"/>
    <n v="2615"/>
    <x v="1"/>
    <x v="1"/>
    <x v="9"/>
    <n v="3583"/>
    <n v="39413"/>
    <n v="17595.47"/>
    <n v="21817.53"/>
    <x v="2"/>
    <x v="1"/>
    <x v="2"/>
    <x v="271"/>
    <s v="Alta"/>
  </r>
  <r>
    <n v="249"/>
    <x v="113"/>
    <x v="2"/>
    <x v="2"/>
    <x v="3"/>
    <n v="3502"/>
    <x v="2"/>
    <x v="2"/>
    <x v="9"/>
    <n v="3569"/>
    <n v="39259"/>
    <n v="27829.83"/>
    <n v="11429.17"/>
    <x v="1"/>
    <x v="1"/>
    <x v="2"/>
    <x v="272"/>
    <s v="Média"/>
  </r>
  <r>
    <n v="5"/>
    <x v="141"/>
    <x v="1"/>
    <x v="2"/>
    <x v="3"/>
    <n v="7807"/>
    <x v="2"/>
    <x v="0"/>
    <x v="1"/>
    <n v="2053"/>
    <n v="39007"/>
    <n v="22904.74"/>
    <n v="16102.26"/>
    <x v="1"/>
    <x v="2"/>
    <x v="0"/>
    <x v="273"/>
    <s v="Alta"/>
  </r>
  <r>
    <n v="849"/>
    <x v="142"/>
    <x v="1"/>
    <x v="1"/>
    <x v="1"/>
    <n v="1061"/>
    <x v="0"/>
    <x v="0"/>
    <x v="3"/>
    <n v="2294"/>
    <n v="38998"/>
    <n v="20628.71"/>
    <n v="18369.29"/>
    <x v="1"/>
    <x v="2"/>
    <x v="4"/>
    <x v="274"/>
    <s v="Alta"/>
  </r>
  <r>
    <n v="32"/>
    <x v="29"/>
    <x v="2"/>
    <x v="0"/>
    <x v="1"/>
    <n v="3159"/>
    <x v="0"/>
    <x v="3"/>
    <x v="5"/>
    <n v="2567"/>
    <n v="38505"/>
    <n v="18632.919999999998"/>
    <n v="19872.080000000002"/>
    <x v="2"/>
    <x v="0"/>
    <x v="3"/>
    <x v="275"/>
    <s v="Alta"/>
  </r>
  <r>
    <n v="875"/>
    <x v="110"/>
    <x v="0"/>
    <x v="3"/>
    <x v="1"/>
    <n v="6424"/>
    <x v="2"/>
    <x v="3"/>
    <x v="4"/>
    <n v="2397"/>
    <n v="38352"/>
    <n v="26905.5"/>
    <n v="11446.5"/>
    <x v="1"/>
    <x v="0"/>
    <x v="0"/>
    <x v="276"/>
    <s v="Média"/>
  </r>
  <r>
    <n v="630"/>
    <x v="121"/>
    <x v="3"/>
    <x v="2"/>
    <x v="1"/>
    <n v="2129"/>
    <x v="1"/>
    <x v="1"/>
    <x v="4"/>
    <n v="2394"/>
    <n v="38304"/>
    <n v="22827.85"/>
    <n v="15476.15"/>
    <x v="1"/>
    <x v="0"/>
    <x v="4"/>
    <x v="277"/>
    <s v="Alta"/>
  </r>
  <r>
    <n v="127"/>
    <x v="143"/>
    <x v="3"/>
    <x v="0"/>
    <x v="3"/>
    <n v="1806"/>
    <x v="0"/>
    <x v="2"/>
    <x v="11"/>
    <n v="4250"/>
    <n v="38250"/>
    <n v="20748.55"/>
    <n v="17501.45"/>
    <x v="0"/>
    <x v="0"/>
    <x v="4"/>
    <x v="278"/>
    <s v="Alta"/>
  </r>
  <r>
    <n v="714"/>
    <x v="144"/>
    <x v="1"/>
    <x v="4"/>
    <x v="1"/>
    <n v="1135"/>
    <x v="0"/>
    <x v="2"/>
    <x v="10"/>
    <n v="3815"/>
    <n v="38150"/>
    <n v="26502.65"/>
    <n v="11647.35"/>
    <x v="0"/>
    <x v="1"/>
    <x v="0"/>
    <x v="279"/>
    <s v="Média"/>
  </r>
  <r>
    <n v="701"/>
    <x v="98"/>
    <x v="1"/>
    <x v="3"/>
    <x v="3"/>
    <n v="4460"/>
    <x v="0"/>
    <x v="0"/>
    <x v="2"/>
    <n v="2115"/>
    <n v="38070"/>
    <n v="15403.07"/>
    <n v="22666.93"/>
    <x v="0"/>
    <x v="2"/>
    <x v="3"/>
    <x v="280"/>
    <s v="Alta"/>
  </r>
  <r>
    <n v="79"/>
    <x v="92"/>
    <x v="2"/>
    <x v="4"/>
    <x v="0"/>
    <n v="7465"/>
    <x v="2"/>
    <x v="3"/>
    <x v="4"/>
    <n v="2379"/>
    <n v="38064"/>
    <n v="15657.5"/>
    <n v="22406.5"/>
    <x v="1"/>
    <x v="2"/>
    <x v="3"/>
    <x v="281"/>
    <s v="Alta"/>
  </r>
  <r>
    <n v="982"/>
    <x v="75"/>
    <x v="0"/>
    <x v="4"/>
    <x v="3"/>
    <n v="8612"/>
    <x v="0"/>
    <x v="4"/>
    <x v="10"/>
    <n v="3793"/>
    <n v="37930"/>
    <n v="27166.1"/>
    <n v="10763.9"/>
    <x v="2"/>
    <x v="1"/>
    <x v="1"/>
    <x v="282"/>
    <s v="Média"/>
  </r>
  <r>
    <n v="382"/>
    <x v="55"/>
    <x v="0"/>
    <x v="3"/>
    <x v="3"/>
    <n v="1468"/>
    <x v="1"/>
    <x v="3"/>
    <x v="1"/>
    <n v="1994"/>
    <n v="37886"/>
    <n v="21508.75"/>
    <n v="16377.25"/>
    <x v="0"/>
    <x v="0"/>
    <x v="3"/>
    <x v="283"/>
    <s v="Alta"/>
  </r>
  <r>
    <n v="154"/>
    <x v="103"/>
    <x v="3"/>
    <x v="1"/>
    <x v="3"/>
    <n v="4209"/>
    <x v="0"/>
    <x v="0"/>
    <x v="3"/>
    <n v="2221"/>
    <n v="37757"/>
    <n v="23871.54"/>
    <n v="13885.46"/>
    <x v="2"/>
    <x v="1"/>
    <x v="0"/>
    <x v="284"/>
    <s v="Média"/>
  </r>
  <r>
    <n v="619"/>
    <x v="145"/>
    <x v="2"/>
    <x v="3"/>
    <x v="2"/>
    <n v="9841"/>
    <x v="2"/>
    <x v="3"/>
    <x v="9"/>
    <n v="3410"/>
    <n v="37510"/>
    <n v="20773.38"/>
    <n v="16736.62"/>
    <x v="2"/>
    <x v="0"/>
    <x v="2"/>
    <x v="285"/>
    <s v="Alta"/>
  </r>
  <r>
    <n v="696"/>
    <x v="75"/>
    <x v="3"/>
    <x v="2"/>
    <x v="1"/>
    <n v="1312"/>
    <x v="1"/>
    <x v="3"/>
    <x v="6"/>
    <n v="2679"/>
    <n v="37506"/>
    <n v="21688.36"/>
    <n v="15817.64"/>
    <x v="2"/>
    <x v="1"/>
    <x v="0"/>
    <x v="286"/>
    <s v="Alta"/>
  </r>
  <r>
    <n v="521"/>
    <x v="146"/>
    <x v="3"/>
    <x v="1"/>
    <x v="3"/>
    <n v="9447"/>
    <x v="0"/>
    <x v="0"/>
    <x v="11"/>
    <n v="4143"/>
    <n v="37287"/>
    <n v="20345.25"/>
    <n v="16941.75"/>
    <x v="1"/>
    <x v="1"/>
    <x v="2"/>
    <x v="287"/>
    <s v="Alta"/>
  </r>
  <r>
    <n v="10"/>
    <x v="27"/>
    <x v="0"/>
    <x v="3"/>
    <x v="2"/>
    <n v="4719"/>
    <x v="1"/>
    <x v="1"/>
    <x v="6"/>
    <n v="2662"/>
    <n v="37268"/>
    <n v="21251.02"/>
    <n v="16016.98"/>
    <x v="0"/>
    <x v="1"/>
    <x v="0"/>
    <x v="288"/>
    <s v="Alta"/>
  </r>
  <r>
    <n v="199"/>
    <x v="147"/>
    <x v="2"/>
    <x v="2"/>
    <x v="2"/>
    <n v="1337"/>
    <x v="2"/>
    <x v="3"/>
    <x v="5"/>
    <n v="2484"/>
    <n v="37260"/>
    <n v="19698.29"/>
    <n v="17561.71"/>
    <x v="1"/>
    <x v="0"/>
    <x v="3"/>
    <x v="289"/>
    <s v="Alta"/>
  </r>
  <r>
    <n v="972"/>
    <x v="76"/>
    <x v="2"/>
    <x v="4"/>
    <x v="0"/>
    <n v="9304"/>
    <x v="2"/>
    <x v="0"/>
    <x v="1"/>
    <n v="1956"/>
    <n v="37164"/>
    <n v="22226.59"/>
    <n v="14937.41"/>
    <x v="1"/>
    <x v="0"/>
    <x v="3"/>
    <x v="290"/>
    <s v="Alta"/>
  </r>
  <r>
    <n v="498"/>
    <x v="131"/>
    <x v="2"/>
    <x v="1"/>
    <x v="1"/>
    <n v="1854"/>
    <x v="1"/>
    <x v="2"/>
    <x v="4"/>
    <n v="2309"/>
    <n v="36944"/>
    <n v="29424.75"/>
    <n v="7519.25"/>
    <x v="1"/>
    <x v="0"/>
    <x v="0"/>
    <x v="291"/>
    <s v="Média"/>
  </r>
  <r>
    <n v="762"/>
    <x v="112"/>
    <x v="0"/>
    <x v="0"/>
    <x v="1"/>
    <n v="3005"/>
    <x v="0"/>
    <x v="1"/>
    <x v="4"/>
    <n v="2304"/>
    <n v="36864"/>
    <n v="16514.55"/>
    <n v="20349.45"/>
    <x v="1"/>
    <x v="2"/>
    <x v="4"/>
    <x v="292"/>
    <s v="Alta"/>
  </r>
  <r>
    <n v="569"/>
    <x v="110"/>
    <x v="3"/>
    <x v="0"/>
    <x v="2"/>
    <n v="6556"/>
    <x v="2"/>
    <x v="3"/>
    <x v="9"/>
    <n v="3349"/>
    <n v="36839"/>
    <n v="19978.11"/>
    <n v="16860.89"/>
    <x v="0"/>
    <x v="2"/>
    <x v="1"/>
    <x v="293"/>
    <s v="Alta"/>
  </r>
  <r>
    <n v="98"/>
    <x v="68"/>
    <x v="0"/>
    <x v="0"/>
    <x v="2"/>
    <n v="5693"/>
    <x v="0"/>
    <x v="1"/>
    <x v="8"/>
    <n v="3069"/>
    <n v="36828"/>
    <n v="29053.13"/>
    <n v="7774.87"/>
    <x v="1"/>
    <x v="0"/>
    <x v="1"/>
    <x v="294"/>
    <s v="Média"/>
  </r>
  <r>
    <n v="844"/>
    <x v="78"/>
    <x v="0"/>
    <x v="3"/>
    <x v="3"/>
    <n v="9737"/>
    <x v="2"/>
    <x v="4"/>
    <x v="7"/>
    <n v="2798"/>
    <n v="36374"/>
    <n v="21292.27"/>
    <n v="15081.73"/>
    <x v="1"/>
    <x v="2"/>
    <x v="3"/>
    <x v="295"/>
    <s v="Alta"/>
  </r>
  <r>
    <n v="311"/>
    <x v="52"/>
    <x v="0"/>
    <x v="1"/>
    <x v="0"/>
    <n v="1636"/>
    <x v="1"/>
    <x v="4"/>
    <x v="12"/>
    <n v="4541"/>
    <n v="36328"/>
    <n v="25690.33"/>
    <n v="10637.67"/>
    <x v="1"/>
    <x v="2"/>
    <x v="0"/>
    <x v="296"/>
    <s v="Média"/>
  </r>
  <r>
    <n v="89"/>
    <x v="148"/>
    <x v="3"/>
    <x v="1"/>
    <x v="2"/>
    <n v="7271"/>
    <x v="1"/>
    <x v="0"/>
    <x v="6"/>
    <n v="2594"/>
    <n v="36316"/>
    <n v="21856.55"/>
    <n v="14459.45"/>
    <x v="0"/>
    <x v="2"/>
    <x v="0"/>
    <x v="297"/>
    <s v="Média"/>
  </r>
  <r>
    <n v="189"/>
    <x v="60"/>
    <x v="1"/>
    <x v="0"/>
    <x v="1"/>
    <n v="4421"/>
    <x v="2"/>
    <x v="2"/>
    <x v="9"/>
    <n v="3277"/>
    <n v="36047"/>
    <n v="20601.25"/>
    <n v="15445.75"/>
    <x v="2"/>
    <x v="1"/>
    <x v="4"/>
    <x v="298"/>
    <s v="Alta"/>
  </r>
  <r>
    <n v="91"/>
    <x v="23"/>
    <x v="3"/>
    <x v="0"/>
    <x v="3"/>
    <n v="4168"/>
    <x v="0"/>
    <x v="4"/>
    <x v="1"/>
    <n v="1896"/>
    <n v="36024"/>
    <n v="22637.200000000001"/>
    <n v="13386.8"/>
    <x v="0"/>
    <x v="0"/>
    <x v="0"/>
    <x v="299"/>
    <s v="Média"/>
  </r>
  <r>
    <n v="699"/>
    <x v="97"/>
    <x v="1"/>
    <x v="2"/>
    <x v="1"/>
    <n v="7538"/>
    <x v="2"/>
    <x v="2"/>
    <x v="5"/>
    <n v="2401"/>
    <n v="36015"/>
    <n v="18108.3"/>
    <n v="17906.7"/>
    <x v="2"/>
    <x v="2"/>
    <x v="2"/>
    <x v="300"/>
    <s v="Alta"/>
  </r>
  <r>
    <n v="410"/>
    <x v="149"/>
    <x v="1"/>
    <x v="4"/>
    <x v="0"/>
    <n v="1749"/>
    <x v="2"/>
    <x v="3"/>
    <x v="3"/>
    <n v="2114"/>
    <n v="35938"/>
    <n v="23744.86"/>
    <n v="12193.14"/>
    <x v="2"/>
    <x v="1"/>
    <x v="0"/>
    <x v="301"/>
    <s v="Média"/>
  </r>
  <r>
    <n v="597"/>
    <x v="127"/>
    <x v="3"/>
    <x v="0"/>
    <x v="1"/>
    <n v="4366"/>
    <x v="0"/>
    <x v="1"/>
    <x v="7"/>
    <n v="2763"/>
    <n v="35919"/>
    <n v="20084.41"/>
    <n v="15834.59"/>
    <x v="2"/>
    <x v="0"/>
    <x v="2"/>
    <x v="302"/>
    <s v="Alta"/>
  </r>
  <r>
    <n v="102"/>
    <x v="102"/>
    <x v="2"/>
    <x v="3"/>
    <x v="0"/>
    <n v="6695"/>
    <x v="1"/>
    <x v="2"/>
    <x v="8"/>
    <n v="2979"/>
    <n v="35748"/>
    <n v="28442.01"/>
    <n v="7305.99"/>
    <x v="0"/>
    <x v="1"/>
    <x v="0"/>
    <x v="303"/>
    <s v="Média"/>
  </r>
  <r>
    <n v="726"/>
    <x v="150"/>
    <x v="0"/>
    <x v="3"/>
    <x v="1"/>
    <n v="5294"/>
    <x v="2"/>
    <x v="2"/>
    <x v="7"/>
    <n v="2726"/>
    <n v="35438"/>
    <n v="18424"/>
    <n v="17014"/>
    <x v="0"/>
    <x v="1"/>
    <x v="2"/>
    <x v="304"/>
    <s v="Alta"/>
  </r>
  <r>
    <n v="326"/>
    <x v="151"/>
    <x v="1"/>
    <x v="1"/>
    <x v="3"/>
    <n v="7388"/>
    <x v="0"/>
    <x v="1"/>
    <x v="4"/>
    <n v="2214"/>
    <n v="35424"/>
    <n v="22751.77"/>
    <n v="12672.23"/>
    <x v="0"/>
    <x v="2"/>
    <x v="3"/>
    <x v="305"/>
    <s v="Média"/>
  </r>
  <r>
    <n v="676"/>
    <x v="58"/>
    <x v="1"/>
    <x v="4"/>
    <x v="1"/>
    <n v="5057"/>
    <x v="1"/>
    <x v="2"/>
    <x v="11"/>
    <n v="3935"/>
    <n v="35415"/>
    <n v="19076.11"/>
    <n v="16338.89"/>
    <x v="0"/>
    <x v="2"/>
    <x v="1"/>
    <x v="306"/>
    <s v="Alta"/>
  </r>
  <r>
    <n v="621"/>
    <x v="152"/>
    <x v="3"/>
    <x v="3"/>
    <x v="1"/>
    <n v="5274"/>
    <x v="0"/>
    <x v="3"/>
    <x v="8"/>
    <n v="2947"/>
    <n v="35364"/>
    <n v="23097.62"/>
    <n v="12266.38"/>
    <x v="1"/>
    <x v="2"/>
    <x v="3"/>
    <x v="307"/>
    <s v="Média"/>
  </r>
  <r>
    <n v="334"/>
    <x v="97"/>
    <x v="1"/>
    <x v="1"/>
    <x v="3"/>
    <n v="1820"/>
    <x v="0"/>
    <x v="0"/>
    <x v="10"/>
    <n v="3528"/>
    <n v="35280"/>
    <n v="26474.43"/>
    <n v="8805.57"/>
    <x v="0"/>
    <x v="1"/>
    <x v="3"/>
    <x v="308"/>
    <s v="Média"/>
  </r>
  <r>
    <n v="476"/>
    <x v="123"/>
    <x v="3"/>
    <x v="3"/>
    <x v="0"/>
    <n v="6686"/>
    <x v="0"/>
    <x v="0"/>
    <x v="3"/>
    <n v="2072"/>
    <n v="35224"/>
    <n v="27232.7"/>
    <n v="7991.3"/>
    <x v="1"/>
    <x v="1"/>
    <x v="4"/>
    <x v="309"/>
    <s v="Média"/>
  </r>
  <r>
    <n v="52"/>
    <x v="153"/>
    <x v="2"/>
    <x v="0"/>
    <x v="1"/>
    <n v="4642"/>
    <x v="2"/>
    <x v="1"/>
    <x v="12"/>
    <n v="4394"/>
    <n v="35152"/>
    <n v="26038.43"/>
    <n v="9113.57"/>
    <x v="0"/>
    <x v="2"/>
    <x v="2"/>
    <x v="310"/>
    <s v="Média"/>
  </r>
  <r>
    <n v="353"/>
    <x v="87"/>
    <x v="1"/>
    <x v="2"/>
    <x v="1"/>
    <n v="5195"/>
    <x v="0"/>
    <x v="4"/>
    <x v="0"/>
    <n v="1757"/>
    <n v="35140"/>
    <n v="23383.63"/>
    <n v="11756.37"/>
    <x v="1"/>
    <x v="2"/>
    <x v="4"/>
    <x v="311"/>
    <s v="Média"/>
  </r>
  <r>
    <n v="291"/>
    <x v="34"/>
    <x v="1"/>
    <x v="1"/>
    <x v="2"/>
    <n v="6267"/>
    <x v="2"/>
    <x v="3"/>
    <x v="12"/>
    <n v="4389"/>
    <n v="35112"/>
    <n v="19015.54"/>
    <n v="16096.46"/>
    <x v="0"/>
    <x v="0"/>
    <x v="1"/>
    <x v="312"/>
    <s v="Alta"/>
  </r>
  <r>
    <n v="520"/>
    <x v="150"/>
    <x v="2"/>
    <x v="4"/>
    <x v="1"/>
    <n v="3405"/>
    <x v="0"/>
    <x v="4"/>
    <x v="2"/>
    <n v="1947"/>
    <n v="35046"/>
    <n v="14400.41"/>
    <n v="20645.59"/>
    <x v="2"/>
    <x v="1"/>
    <x v="0"/>
    <x v="313"/>
    <s v="Alta"/>
  </r>
  <r>
    <n v="188"/>
    <x v="45"/>
    <x v="1"/>
    <x v="1"/>
    <x v="2"/>
    <n v="6488"/>
    <x v="1"/>
    <x v="4"/>
    <x v="13"/>
    <n v="4992"/>
    <n v="34944"/>
    <n v="19921.46"/>
    <n v="15022.54"/>
    <x v="0"/>
    <x v="0"/>
    <x v="1"/>
    <x v="314"/>
    <s v="Alta"/>
  </r>
  <r>
    <n v="537"/>
    <x v="37"/>
    <x v="2"/>
    <x v="0"/>
    <x v="2"/>
    <n v="8051"/>
    <x v="1"/>
    <x v="1"/>
    <x v="8"/>
    <n v="2912"/>
    <n v="34944"/>
    <n v="15523.13"/>
    <n v="19420.87"/>
    <x v="1"/>
    <x v="2"/>
    <x v="2"/>
    <x v="315"/>
    <s v="Alta"/>
  </r>
  <r>
    <n v="234"/>
    <x v="135"/>
    <x v="2"/>
    <x v="0"/>
    <x v="2"/>
    <n v="1390"/>
    <x v="1"/>
    <x v="0"/>
    <x v="9"/>
    <n v="3173"/>
    <n v="34903"/>
    <n v="18044.98"/>
    <n v="16858.02"/>
    <x v="0"/>
    <x v="0"/>
    <x v="4"/>
    <x v="316"/>
    <s v="Alta"/>
  </r>
  <r>
    <n v="297"/>
    <x v="16"/>
    <x v="3"/>
    <x v="2"/>
    <x v="2"/>
    <n v="4475"/>
    <x v="2"/>
    <x v="1"/>
    <x v="4"/>
    <n v="2177"/>
    <n v="34832"/>
    <n v="16364.69"/>
    <n v="18467.310000000001"/>
    <x v="1"/>
    <x v="1"/>
    <x v="3"/>
    <x v="317"/>
    <s v="Alta"/>
  </r>
  <r>
    <n v="397"/>
    <x v="34"/>
    <x v="0"/>
    <x v="4"/>
    <x v="2"/>
    <n v="1209"/>
    <x v="1"/>
    <x v="1"/>
    <x v="7"/>
    <n v="2677"/>
    <n v="34801"/>
    <n v="27539.279999999999"/>
    <n v="7261.72"/>
    <x v="1"/>
    <x v="0"/>
    <x v="2"/>
    <x v="318"/>
    <s v="Média"/>
  </r>
  <r>
    <n v="390"/>
    <x v="116"/>
    <x v="0"/>
    <x v="4"/>
    <x v="0"/>
    <n v="7670"/>
    <x v="2"/>
    <x v="3"/>
    <x v="5"/>
    <n v="2319"/>
    <n v="34785"/>
    <n v="27482.34"/>
    <n v="7302.66"/>
    <x v="1"/>
    <x v="0"/>
    <x v="0"/>
    <x v="319"/>
    <s v="Média"/>
  </r>
  <r>
    <n v="595"/>
    <x v="12"/>
    <x v="0"/>
    <x v="1"/>
    <x v="3"/>
    <n v="7869"/>
    <x v="0"/>
    <x v="2"/>
    <x v="5"/>
    <n v="2319"/>
    <n v="34785"/>
    <n v="17161.66"/>
    <n v="17623.34"/>
    <x v="1"/>
    <x v="2"/>
    <x v="2"/>
    <x v="320"/>
    <s v="Alta"/>
  </r>
  <r>
    <n v="518"/>
    <x v="122"/>
    <x v="1"/>
    <x v="2"/>
    <x v="1"/>
    <n v="3107"/>
    <x v="2"/>
    <x v="3"/>
    <x v="6"/>
    <n v="2468"/>
    <n v="34552"/>
    <n v="24512.34"/>
    <n v="10039.66"/>
    <x v="2"/>
    <x v="0"/>
    <x v="1"/>
    <x v="321"/>
    <s v="Média"/>
  </r>
  <r>
    <n v="327"/>
    <x v="37"/>
    <x v="2"/>
    <x v="0"/>
    <x v="1"/>
    <n v="7207"/>
    <x v="2"/>
    <x v="1"/>
    <x v="10"/>
    <n v="3454"/>
    <n v="34540"/>
    <n v="19498.78"/>
    <n v="15041.22"/>
    <x v="1"/>
    <x v="2"/>
    <x v="2"/>
    <x v="322"/>
    <s v="Alta"/>
  </r>
  <r>
    <n v="72"/>
    <x v="73"/>
    <x v="0"/>
    <x v="1"/>
    <x v="3"/>
    <n v="4241"/>
    <x v="1"/>
    <x v="1"/>
    <x v="5"/>
    <n v="2296"/>
    <n v="34440"/>
    <n v="16497.53"/>
    <n v="17942.47"/>
    <x v="1"/>
    <x v="2"/>
    <x v="2"/>
    <x v="323"/>
    <s v="Alta"/>
  </r>
  <r>
    <n v="579"/>
    <x v="154"/>
    <x v="1"/>
    <x v="3"/>
    <x v="0"/>
    <n v="2028"/>
    <x v="1"/>
    <x v="1"/>
    <x v="5"/>
    <n v="2280"/>
    <n v="34200"/>
    <n v="22019.61"/>
    <n v="12180.39"/>
    <x v="0"/>
    <x v="2"/>
    <x v="0"/>
    <x v="324"/>
    <s v="Média"/>
  </r>
  <r>
    <n v="747"/>
    <x v="148"/>
    <x v="0"/>
    <x v="3"/>
    <x v="3"/>
    <n v="6101"/>
    <x v="0"/>
    <x v="0"/>
    <x v="8"/>
    <n v="2849"/>
    <n v="34188"/>
    <n v="21272.35"/>
    <n v="12915.65"/>
    <x v="1"/>
    <x v="1"/>
    <x v="0"/>
    <x v="325"/>
    <s v="Média"/>
  </r>
  <r>
    <n v="259"/>
    <x v="153"/>
    <x v="1"/>
    <x v="0"/>
    <x v="2"/>
    <n v="1600"/>
    <x v="0"/>
    <x v="2"/>
    <x v="2"/>
    <n v="1892"/>
    <n v="34056"/>
    <n v="21585.89"/>
    <n v="12470.11"/>
    <x v="2"/>
    <x v="0"/>
    <x v="3"/>
    <x v="326"/>
    <s v="Média"/>
  </r>
  <r>
    <n v="439"/>
    <x v="117"/>
    <x v="1"/>
    <x v="4"/>
    <x v="0"/>
    <n v="8778"/>
    <x v="2"/>
    <x v="1"/>
    <x v="13"/>
    <n v="4865"/>
    <n v="34055"/>
    <n v="26850.2"/>
    <n v="7204.8"/>
    <x v="1"/>
    <x v="1"/>
    <x v="1"/>
    <x v="327"/>
    <s v="Média"/>
  </r>
  <r>
    <n v="404"/>
    <x v="155"/>
    <x v="1"/>
    <x v="1"/>
    <x v="3"/>
    <n v="2279"/>
    <x v="1"/>
    <x v="2"/>
    <x v="0"/>
    <n v="1700"/>
    <n v="34000"/>
    <n v="13774.51"/>
    <n v="20225.490000000002"/>
    <x v="2"/>
    <x v="0"/>
    <x v="1"/>
    <x v="328"/>
    <s v="Alta"/>
  </r>
  <r>
    <n v="915"/>
    <x v="97"/>
    <x v="2"/>
    <x v="4"/>
    <x v="1"/>
    <n v="8644"/>
    <x v="2"/>
    <x v="2"/>
    <x v="12"/>
    <n v="4246"/>
    <n v="33968"/>
    <n v="24461.49"/>
    <n v="9506.51"/>
    <x v="2"/>
    <x v="0"/>
    <x v="3"/>
    <x v="329"/>
    <s v="Média"/>
  </r>
  <r>
    <n v="862"/>
    <x v="28"/>
    <x v="1"/>
    <x v="2"/>
    <x v="2"/>
    <n v="7243"/>
    <x v="2"/>
    <x v="2"/>
    <x v="5"/>
    <n v="2263"/>
    <n v="33945"/>
    <n v="16767.439999999999"/>
    <n v="17177.560000000001"/>
    <x v="2"/>
    <x v="1"/>
    <x v="3"/>
    <x v="330"/>
    <s v="Alta"/>
  </r>
  <r>
    <n v="312"/>
    <x v="148"/>
    <x v="3"/>
    <x v="2"/>
    <x v="0"/>
    <n v="3259"/>
    <x v="1"/>
    <x v="2"/>
    <x v="1"/>
    <n v="1780"/>
    <n v="33820"/>
    <n v="18449.12"/>
    <n v="15370.88"/>
    <x v="1"/>
    <x v="0"/>
    <x v="3"/>
    <x v="331"/>
    <s v="Alta"/>
  </r>
  <r>
    <n v="681"/>
    <x v="115"/>
    <x v="0"/>
    <x v="0"/>
    <x v="0"/>
    <n v="2498"/>
    <x v="2"/>
    <x v="4"/>
    <x v="9"/>
    <n v="3071"/>
    <n v="33781"/>
    <n v="23243.39"/>
    <n v="10537.61"/>
    <x v="2"/>
    <x v="2"/>
    <x v="3"/>
    <x v="332"/>
    <s v="Média"/>
  </r>
  <r>
    <n v="56"/>
    <x v="79"/>
    <x v="1"/>
    <x v="4"/>
    <x v="3"/>
    <n v="6891"/>
    <x v="2"/>
    <x v="3"/>
    <x v="2"/>
    <n v="1870"/>
    <n v="33660"/>
    <n v="17662.78"/>
    <n v="15997.22"/>
    <x v="0"/>
    <x v="1"/>
    <x v="0"/>
    <x v="333"/>
    <s v="Alta"/>
  </r>
  <r>
    <n v="986"/>
    <x v="121"/>
    <x v="3"/>
    <x v="1"/>
    <x v="1"/>
    <n v="5405"/>
    <x v="1"/>
    <x v="0"/>
    <x v="2"/>
    <n v="1863"/>
    <n v="33534"/>
    <n v="14053.37"/>
    <n v="19480.63"/>
    <x v="1"/>
    <x v="0"/>
    <x v="4"/>
    <x v="334"/>
    <s v="Alta"/>
  </r>
  <r>
    <n v="842"/>
    <x v="15"/>
    <x v="0"/>
    <x v="3"/>
    <x v="0"/>
    <n v="6532"/>
    <x v="0"/>
    <x v="4"/>
    <x v="10"/>
    <n v="3339"/>
    <n v="33390"/>
    <n v="13920.76"/>
    <n v="19469.240000000002"/>
    <x v="1"/>
    <x v="0"/>
    <x v="4"/>
    <x v="335"/>
    <s v="Alta"/>
  </r>
  <r>
    <n v="846"/>
    <x v="155"/>
    <x v="2"/>
    <x v="1"/>
    <x v="1"/>
    <n v="5760"/>
    <x v="0"/>
    <x v="1"/>
    <x v="12"/>
    <n v="4169"/>
    <n v="33352"/>
    <n v="22247.43"/>
    <n v="11104.57"/>
    <x v="2"/>
    <x v="1"/>
    <x v="0"/>
    <x v="336"/>
    <s v="Média"/>
  </r>
  <r>
    <n v="656"/>
    <x v="143"/>
    <x v="0"/>
    <x v="4"/>
    <x v="3"/>
    <n v="3823"/>
    <x v="1"/>
    <x v="2"/>
    <x v="1"/>
    <n v="1751"/>
    <n v="33269"/>
    <n v="15543.12"/>
    <n v="17725.88"/>
    <x v="2"/>
    <x v="2"/>
    <x v="4"/>
    <x v="337"/>
    <s v="Alta"/>
  </r>
  <r>
    <n v="432"/>
    <x v="106"/>
    <x v="3"/>
    <x v="0"/>
    <x v="3"/>
    <n v="8465"/>
    <x v="0"/>
    <x v="3"/>
    <x v="6"/>
    <n v="2373"/>
    <n v="33222"/>
    <n v="16924.61"/>
    <n v="16297.39"/>
    <x v="1"/>
    <x v="1"/>
    <x v="1"/>
    <x v="338"/>
    <s v="Alta"/>
  </r>
  <r>
    <n v="570"/>
    <x v="146"/>
    <x v="2"/>
    <x v="4"/>
    <x v="0"/>
    <n v="7264"/>
    <x v="2"/>
    <x v="3"/>
    <x v="12"/>
    <n v="4151"/>
    <n v="33208"/>
    <n v="19951.45"/>
    <n v="13256.55"/>
    <x v="1"/>
    <x v="2"/>
    <x v="1"/>
    <x v="339"/>
    <s v="Média"/>
  </r>
  <r>
    <n v="47"/>
    <x v="81"/>
    <x v="2"/>
    <x v="1"/>
    <x v="2"/>
    <n v="7053"/>
    <x v="2"/>
    <x v="0"/>
    <x v="1"/>
    <n v="1747"/>
    <n v="33193"/>
    <n v="25519.73"/>
    <n v="7673.27"/>
    <x v="1"/>
    <x v="0"/>
    <x v="0"/>
    <x v="340"/>
    <s v="Média"/>
  </r>
  <r>
    <n v="296"/>
    <x v="133"/>
    <x v="1"/>
    <x v="2"/>
    <x v="1"/>
    <n v="3324"/>
    <x v="1"/>
    <x v="2"/>
    <x v="4"/>
    <n v="2074"/>
    <n v="33184"/>
    <n v="21230.45"/>
    <n v="11953.55"/>
    <x v="2"/>
    <x v="0"/>
    <x v="0"/>
    <x v="341"/>
    <s v="Média"/>
  </r>
  <r>
    <n v="603"/>
    <x v="57"/>
    <x v="0"/>
    <x v="0"/>
    <x v="3"/>
    <n v="6033"/>
    <x v="0"/>
    <x v="3"/>
    <x v="6"/>
    <n v="2362"/>
    <n v="33068"/>
    <n v="14714.67"/>
    <n v="18353.330000000002"/>
    <x v="1"/>
    <x v="0"/>
    <x v="1"/>
    <x v="342"/>
    <s v="Alta"/>
  </r>
  <r>
    <n v="313"/>
    <x v="111"/>
    <x v="2"/>
    <x v="2"/>
    <x v="0"/>
    <n v="8634"/>
    <x v="2"/>
    <x v="4"/>
    <x v="2"/>
    <n v="1834"/>
    <n v="33012"/>
    <n v="19580.88"/>
    <n v="13431.12"/>
    <x v="0"/>
    <x v="1"/>
    <x v="2"/>
    <x v="343"/>
    <s v="Alta"/>
  </r>
  <r>
    <n v="649"/>
    <x v="53"/>
    <x v="1"/>
    <x v="4"/>
    <x v="2"/>
    <n v="4200"/>
    <x v="0"/>
    <x v="4"/>
    <x v="8"/>
    <n v="2751"/>
    <n v="33012"/>
    <n v="13572.27"/>
    <n v="19439.73"/>
    <x v="2"/>
    <x v="1"/>
    <x v="4"/>
    <x v="344"/>
    <s v="Alta"/>
  </r>
  <r>
    <n v="495"/>
    <x v="20"/>
    <x v="2"/>
    <x v="4"/>
    <x v="0"/>
    <n v="5633"/>
    <x v="1"/>
    <x v="4"/>
    <x v="12"/>
    <n v="4109"/>
    <n v="32872"/>
    <n v="14651.1"/>
    <n v="18220.900000000001"/>
    <x v="0"/>
    <x v="1"/>
    <x v="2"/>
    <x v="345"/>
    <s v="Alta"/>
  </r>
  <r>
    <n v="222"/>
    <x v="120"/>
    <x v="0"/>
    <x v="3"/>
    <x v="3"/>
    <n v="1833"/>
    <x v="0"/>
    <x v="2"/>
    <x v="8"/>
    <n v="2738"/>
    <n v="32856"/>
    <n v="26227.96"/>
    <n v="6628.04"/>
    <x v="2"/>
    <x v="2"/>
    <x v="1"/>
    <x v="346"/>
    <s v="Média"/>
  </r>
  <r>
    <n v="196"/>
    <x v="105"/>
    <x v="3"/>
    <x v="2"/>
    <x v="1"/>
    <n v="8684"/>
    <x v="1"/>
    <x v="0"/>
    <x v="12"/>
    <n v="4096"/>
    <n v="32768"/>
    <n v="19019.439999999999"/>
    <n v="13748.56"/>
    <x v="1"/>
    <x v="2"/>
    <x v="1"/>
    <x v="347"/>
    <s v="Alta"/>
  </r>
  <r>
    <n v="111"/>
    <x v="139"/>
    <x v="1"/>
    <x v="2"/>
    <x v="1"/>
    <n v="1001"/>
    <x v="2"/>
    <x v="0"/>
    <x v="1"/>
    <n v="1722"/>
    <n v="32718"/>
    <n v="20442.439999999999"/>
    <n v="12275.56"/>
    <x v="1"/>
    <x v="2"/>
    <x v="3"/>
    <x v="348"/>
    <s v="Média"/>
  </r>
  <r>
    <n v="828"/>
    <x v="45"/>
    <x v="2"/>
    <x v="0"/>
    <x v="2"/>
    <n v="3035"/>
    <x v="0"/>
    <x v="1"/>
    <x v="10"/>
    <n v="3266"/>
    <n v="32660"/>
    <n v="21354.73"/>
    <n v="11305.27"/>
    <x v="1"/>
    <x v="2"/>
    <x v="4"/>
    <x v="349"/>
    <s v="Média"/>
  </r>
  <r>
    <n v="791"/>
    <x v="156"/>
    <x v="0"/>
    <x v="3"/>
    <x v="0"/>
    <n v="8255"/>
    <x v="0"/>
    <x v="4"/>
    <x v="11"/>
    <n v="3616"/>
    <n v="32544"/>
    <n v="16125.79"/>
    <n v="16418.21"/>
    <x v="0"/>
    <x v="1"/>
    <x v="3"/>
    <x v="350"/>
    <s v="Alta"/>
  </r>
  <r>
    <n v="369"/>
    <x v="116"/>
    <x v="3"/>
    <x v="2"/>
    <x v="0"/>
    <n v="6707"/>
    <x v="2"/>
    <x v="1"/>
    <x v="6"/>
    <n v="2324"/>
    <n v="32536"/>
    <n v="17482.849999999999"/>
    <n v="15053.15"/>
    <x v="2"/>
    <x v="2"/>
    <x v="3"/>
    <x v="351"/>
    <s v="Alta"/>
  </r>
  <r>
    <n v="374"/>
    <x v="134"/>
    <x v="1"/>
    <x v="0"/>
    <x v="2"/>
    <n v="1432"/>
    <x v="1"/>
    <x v="3"/>
    <x v="5"/>
    <n v="2168"/>
    <n v="32520"/>
    <n v="19728.580000000002"/>
    <n v="12791.42"/>
    <x v="0"/>
    <x v="1"/>
    <x v="3"/>
    <x v="352"/>
    <s v="Média"/>
  </r>
  <r>
    <n v="865"/>
    <x v="125"/>
    <x v="3"/>
    <x v="3"/>
    <x v="0"/>
    <n v="6976"/>
    <x v="0"/>
    <x v="1"/>
    <x v="4"/>
    <n v="2032"/>
    <n v="32512"/>
    <n v="19610.2"/>
    <n v="12901.8"/>
    <x v="2"/>
    <x v="1"/>
    <x v="3"/>
    <x v="353"/>
    <s v="Média"/>
  </r>
  <r>
    <n v="492"/>
    <x v="86"/>
    <x v="3"/>
    <x v="0"/>
    <x v="1"/>
    <n v="1616"/>
    <x v="1"/>
    <x v="1"/>
    <x v="8"/>
    <n v="2706"/>
    <n v="32472"/>
    <n v="25065.599999999999"/>
    <n v="7406.4"/>
    <x v="0"/>
    <x v="2"/>
    <x v="2"/>
    <x v="354"/>
    <s v="Média"/>
  </r>
  <r>
    <n v="756"/>
    <x v="142"/>
    <x v="1"/>
    <x v="3"/>
    <x v="3"/>
    <n v="4775"/>
    <x v="0"/>
    <x v="3"/>
    <x v="11"/>
    <n v="3601"/>
    <n v="32409"/>
    <n v="17651.349999999999"/>
    <n v="14757.65"/>
    <x v="0"/>
    <x v="2"/>
    <x v="4"/>
    <x v="355"/>
    <s v="Alta"/>
  </r>
  <r>
    <n v="290"/>
    <x v="74"/>
    <x v="1"/>
    <x v="3"/>
    <x v="2"/>
    <n v="2332"/>
    <x v="1"/>
    <x v="3"/>
    <x v="7"/>
    <n v="2491"/>
    <n v="32383"/>
    <n v="23607.99"/>
    <n v="8775.01"/>
    <x v="1"/>
    <x v="2"/>
    <x v="4"/>
    <x v="356"/>
    <s v="Média"/>
  </r>
  <r>
    <n v="125"/>
    <x v="33"/>
    <x v="1"/>
    <x v="2"/>
    <x v="0"/>
    <n v="2263"/>
    <x v="0"/>
    <x v="1"/>
    <x v="8"/>
    <n v="2694"/>
    <n v="32328"/>
    <n v="23562.19"/>
    <n v="8765.81"/>
    <x v="2"/>
    <x v="0"/>
    <x v="0"/>
    <x v="357"/>
    <s v="Média"/>
  </r>
  <r>
    <n v="239"/>
    <x v="58"/>
    <x v="1"/>
    <x v="3"/>
    <x v="2"/>
    <n v="8523"/>
    <x v="0"/>
    <x v="3"/>
    <x v="9"/>
    <n v="2935"/>
    <n v="32285"/>
    <n v="12985.12"/>
    <n v="19299.88"/>
    <x v="0"/>
    <x v="1"/>
    <x v="4"/>
    <x v="358"/>
    <s v="Alta"/>
  </r>
  <r>
    <n v="216"/>
    <x v="148"/>
    <x v="1"/>
    <x v="2"/>
    <x v="2"/>
    <n v="5835"/>
    <x v="2"/>
    <x v="0"/>
    <x v="1"/>
    <n v="1698"/>
    <n v="32262"/>
    <n v="19514.43"/>
    <n v="12747.57"/>
    <x v="2"/>
    <x v="1"/>
    <x v="3"/>
    <x v="359"/>
    <s v="Média"/>
  </r>
  <r>
    <n v="12"/>
    <x v="16"/>
    <x v="0"/>
    <x v="1"/>
    <x v="1"/>
    <n v="2390"/>
    <x v="0"/>
    <x v="2"/>
    <x v="13"/>
    <n v="4608"/>
    <n v="32256"/>
    <n v="19537.689999999999"/>
    <n v="12718.31"/>
    <x v="2"/>
    <x v="1"/>
    <x v="4"/>
    <x v="360"/>
    <s v="Média"/>
  </r>
  <r>
    <n v="977"/>
    <x v="102"/>
    <x v="0"/>
    <x v="4"/>
    <x v="0"/>
    <n v="6733"/>
    <x v="1"/>
    <x v="3"/>
    <x v="4"/>
    <n v="2016"/>
    <n v="32256"/>
    <n v="22900.18"/>
    <n v="9355.82"/>
    <x v="2"/>
    <x v="1"/>
    <x v="0"/>
    <x v="361"/>
    <s v="Média"/>
  </r>
  <r>
    <n v="742"/>
    <x v="134"/>
    <x v="1"/>
    <x v="1"/>
    <x v="3"/>
    <n v="4300"/>
    <x v="2"/>
    <x v="2"/>
    <x v="4"/>
    <n v="2013"/>
    <n v="32208"/>
    <n v="18294.63"/>
    <n v="13913.37"/>
    <x v="0"/>
    <x v="1"/>
    <x v="3"/>
    <x v="362"/>
    <s v="Alta"/>
  </r>
  <r>
    <n v="182"/>
    <x v="60"/>
    <x v="2"/>
    <x v="1"/>
    <x v="0"/>
    <n v="8658"/>
    <x v="2"/>
    <x v="0"/>
    <x v="11"/>
    <n v="3574"/>
    <n v="32166"/>
    <n v="15077.69"/>
    <n v="17088.310000000001"/>
    <x v="1"/>
    <x v="2"/>
    <x v="2"/>
    <x v="363"/>
    <s v="Alta"/>
  </r>
  <r>
    <n v="934"/>
    <x v="54"/>
    <x v="0"/>
    <x v="0"/>
    <x v="2"/>
    <n v="7360"/>
    <x v="1"/>
    <x v="3"/>
    <x v="10"/>
    <n v="3213"/>
    <n v="32130"/>
    <n v="23562.03"/>
    <n v="8567.9699999999993"/>
    <x v="0"/>
    <x v="0"/>
    <x v="4"/>
    <x v="364"/>
    <s v="Média"/>
  </r>
  <r>
    <n v="240"/>
    <x v="21"/>
    <x v="0"/>
    <x v="1"/>
    <x v="3"/>
    <n v="1867"/>
    <x v="0"/>
    <x v="4"/>
    <x v="10"/>
    <n v="3206"/>
    <n v="32060"/>
    <n v="14347.96"/>
    <n v="17712.04"/>
    <x v="0"/>
    <x v="2"/>
    <x v="1"/>
    <x v="365"/>
    <s v="Alta"/>
  </r>
  <r>
    <n v="16"/>
    <x v="126"/>
    <x v="2"/>
    <x v="3"/>
    <x v="2"/>
    <n v="7852"/>
    <x v="2"/>
    <x v="1"/>
    <x v="11"/>
    <n v="3555"/>
    <n v="31995"/>
    <n v="15229.31"/>
    <n v="16765.689999999999"/>
    <x v="0"/>
    <x v="1"/>
    <x v="4"/>
    <x v="366"/>
    <s v="Alta"/>
  </r>
  <r>
    <n v="29"/>
    <x v="108"/>
    <x v="3"/>
    <x v="1"/>
    <x v="2"/>
    <n v="9808"/>
    <x v="2"/>
    <x v="3"/>
    <x v="5"/>
    <n v="2131"/>
    <n v="31965"/>
    <n v="24567.58"/>
    <n v="7397.42"/>
    <x v="2"/>
    <x v="2"/>
    <x v="4"/>
    <x v="367"/>
    <s v="Média"/>
  </r>
  <r>
    <n v="71"/>
    <x v="157"/>
    <x v="2"/>
    <x v="1"/>
    <x v="2"/>
    <n v="7445"/>
    <x v="0"/>
    <x v="4"/>
    <x v="2"/>
    <n v="1774"/>
    <n v="31932"/>
    <n v="16323.49"/>
    <n v="15608.51"/>
    <x v="2"/>
    <x v="1"/>
    <x v="4"/>
    <x v="368"/>
    <s v="Alta"/>
  </r>
  <r>
    <n v="906"/>
    <x v="134"/>
    <x v="1"/>
    <x v="0"/>
    <x v="0"/>
    <n v="3617"/>
    <x v="0"/>
    <x v="4"/>
    <x v="13"/>
    <n v="4558"/>
    <n v="31906"/>
    <n v="15145.99"/>
    <n v="16760.009999999998"/>
    <x v="0"/>
    <x v="1"/>
    <x v="4"/>
    <x v="369"/>
    <s v="Alta"/>
  </r>
  <r>
    <n v="879"/>
    <x v="158"/>
    <x v="0"/>
    <x v="2"/>
    <x v="3"/>
    <n v="6954"/>
    <x v="2"/>
    <x v="1"/>
    <x v="1"/>
    <n v="1679"/>
    <n v="31901"/>
    <n v="22040.17"/>
    <n v="9860.83"/>
    <x v="1"/>
    <x v="0"/>
    <x v="0"/>
    <x v="370"/>
    <s v="Média"/>
  </r>
  <r>
    <n v="985"/>
    <x v="124"/>
    <x v="0"/>
    <x v="4"/>
    <x v="2"/>
    <n v="2982"/>
    <x v="0"/>
    <x v="1"/>
    <x v="8"/>
    <n v="2653"/>
    <n v="31836"/>
    <n v="18316.63"/>
    <n v="13519.37"/>
    <x v="2"/>
    <x v="2"/>
    <x v="3"/>
    <x v="371"/>
    <s v="Alta"/>
  </r>
  <r>
    <n v="158"/>
    <x v="126"/>
    <x v="1"/>
    <x v="0"/>
    <x v="1"/>
    <n v="1906"/>
    <x v="1"/>
    <x v="3"/>
    <x v="4"/>
    <n v="1989"/>
    <n v="31824"/>
    <n v="21498.16"/>
    <n v="10325.84"/>
    <x v="0"/>
    <x v="0"/>
    <x v="0"/>
    <x v="372"/>
    <s v="Média"/>
  </r>
  <r>
    <n v="309"/>
    <x v="155"/>
    <x v="0"/>
    <x v="0"/>
    <x v="2"/>
    <n v="6922"/>
    <x v="0"/>
    <x v="2"/>
    <x v="8"/>
    <n v="2597"/>
    <n v="31164"/>
    <n v="19520.5"/>
    <n v="11643.5"/>
    <x v="0"/>
    <x v="2"/>
    <x v="3"/>
    <x v="373"/>
    <s v="Média"/>
  </r>
  <r>
    <n v="670"/>
    <x v="134"/>
    <x v="2"/>
    <x v="1"/>
    <x v="0"/>
    <n v="4746"/>
    <x v="2"/>
    <x v="2"/>
    <x v="12"/>
    <n v="3890"/>
    <n v="31120"/>
    <n v="19632.16"/>
    <n v="11487.84"/>
    <x v="2"/>
    <x v="0"/>
    <x v="0"/>
    <x v="374"/>
    <s v="Média"/>
  </r>
  <r>
    <n v="175"/>
    <x v="59"/>
    <x v="1"/>
    <x v="4"/>
    <x v="1"/>
    <n v="3123"/>
    <x v="1"/>
    <x v="3"/>
    <x v="6"/>
    <n v="2215"/>
    <n v="31010"/>
    <n v="24388.31"/>
    <n v="6621.69"/>
    <x v="0"/>
    <x v="1"/>
    <x v="2"/>
    <x v="375"/>
    <s v="Média"/>
  </r>
  <r>
    <n v="24"/>
    <x v="72"/>
    <x v="2"/>
    <x v="2"/>
    <x v="3"/>
    <n v="6576"/>
    <x v="2"/>
    <x v="3"/>
    <x v="8"/>
    <n v="2579"/>
    <n v="30948"/>
    <n v="14187.51"/>
    <n v="16760.490000000002"/>
    <x v="0"/>
    <x v="2"/>
    <x v="0"/>
    <x v="376"/>
    <s v="Alta"/>
  </r>
  <r>
    <n v="48"/>
    <x v="154"/>
    <x v="2"/>
    <x v="4"/>
    <x v="1"/>
    <n v="5766"/>
    <x v="1"/>
    <x v="2"/>
    <x v="13"/>
    <n v="4394"/>
    <n v="30758"/>
    <n v="24251.53"/>
    <n v="6506.47"/>
    <x v="1"/>
    <x v="0"/>
    <x v="0"/>
    <x v="377"/>
    <s v="Média"/>
  </r>
  <r>
    <n v="377"/>
    <x v="59"/>
    <x v="1"/>
    <x v="3"/>
    <x v="3"/>
    <n v="2898"/>
    <x v="2"/>
    <x v="2"/>
    <x v="8"/>
    <n v="2560"/>
    <n v="30720"/>
    <n v="23662.23"/>
    <n v="7057.77"/>
    <x v="2"/>
    <x v="1"/>
    <x v="1"/>
    <x v="378"/>
    <s v="Média"/>
  </r>
  <r>
    <n v="553"/>
    <x v="157"/>
    <x v="0"/>
    <x v="3"/>
    <x v="1"/>
    <n v="2189"/>
    <x v="0"/>
    <x v="4"/>
    <x v="10"/>
    <n v="3051"/>
    <n v="30510"/>
    <n v="19211.310000000001"/>
    <n v="11298.69"/>
    <x v="2"/>
    <x v="0"/>
    <x v="1"/>
    <x v="379"/>
    <s v="Média"/>
  </r>
  <r>
    <n v="805"/>
    <x v="56"/>
    <x v="0"/>
    <x v="4"/>
    <x v="3"/>
    <n v="7461"/>
    <x v="2"/>
    <x v="4"/>
    <x v="11"/>
    <n v="3390"/>
    <n v="30510"/>
    <n v="17178.650000000001"/>
    <n v="13331.35"/>
    <x v="0"/>
    <x v="2"/>
    <x v="1"/>
    <x v="380"/>
    <s v="Alta"/>
  </r>
  <r>
    <n v="136"/>
    <x v="159"/>
    <x v="3"/>
    <x v="2"/>
    <x v="1"/>
    <n v="7741"/>
    <x v="1"/>
    <x v="1"/>
    <x v="9"/>
    <n v="2766"/>
    <n v="30426"/>
    <n v="20928.11"/>
    <n v="9497.89"/>
    <x v="1"/>
    <x v="0"/>
    <x v="2"/>
    <x v="381"/>
    <s v="Média"/>
  </r>
  <r>
    <n v="922"/>
    <x v="58"/>
    <x v="0"/>
    <x v="1"/>
    <x v="3"/>
    <n v="6362"/>
    <x v="1"/>
    <x v="4"/>
    <x v="2"/>
    <n v="1688"/>
    <n v="30384"/>
    <n v="18354.25"/>
    <n v="12029.75"/>
    <x v="0"/>
    <x v="2"/>
    <x v="1"/>
    <x v="382"/>
    <s v="Média"/>
  </r>
  <r>
    <n v="835"/>
    <x v="82"/>
    <x v="2"/>
    <x v="2"/>
    <x v="3"/>
    <n v="7724"/>
    <x v="1"/>
    <x v="3"/>
    <x v="8"/>
    <n v="2529"/>
    <n v="30348"/>
    <n v="23456.880000000001"/>
    <n v="6891.12"/>
    <x v="0"/>
    <x v="0"/>
    <x v="3"/>
    <x v="383"/>
    <s v="Média"/>
  </r>
  <r>
    <n v="45"/>
    <x v="33"/>
    <x v="0"/>
    <x v="1"/>
    <x v="3"/>
    <n v="1969"/>
    <x v="0"/>
    <x v="4"/>
    <x v="13"/>
    <n v="4331"/>
    <n v="30317"/>
    <n v="14664.45"/>
    <n v="15652.55"/>
    <x v="0"/>
    <x v="0"/>
    <x v="4"/>
    <x v="384"/>
    <s v="Alta"/>
  </r>
  <r>
    <n v="530"/>
    <x v="157"/>
    <x v="3"/>
    <x v="4"/>
    <x v="3"/>
    <n v="2259"/>
    <x v="2"/>
    <x v="3"/>
    <x v="13"/>
    <n v="4328"/>
    <n v="30296"/>
    <n v="16279.5"/>
    <n v="14016.5"/>
    <x v="2"/>
    <x v="2"/>
    <x v="3"/>
    <x v="385"/>
    <s v="Alta"/>
  </r>
  <r>
    <n v="36"/>
    <x v="35"/>
    <x v="1"/>
    <x v="0"/>
    <x v="1"/>
    <n v="7424"/>
    <x v="2"/>
    <x v="1"/>
    <x v="13"/>
    <n v="4326"/>
    <n v="30282"/>
    <n v="18709.71"/>
    <n v="11572.29"/>
    <x v="0"/>
    <x v="0"/>
    <x v="1"/>
    <x v="386"/>
    <s v="Média"/>
  </r>
  <r>
    <n v="40"/>
    <x v="119"/>
    <x v="0"/>
    <x v="4"/>
    <x v="3"/>
    <n v="3721"/>
    <x v="2"/>
    <x v="0"/>
    <x v="13"/>
    <n v="4321"/>
    <n v="30247"/>
    <n v="13566.02"/>
    <n v="16680.98"/>
    <x v="0"/>
    <x v="0"/>
    <x v="1"/>
    <x v="387"/>
    <s v="Alta"/>
  </r>
  <r>
    <n v="322"/>
    <x v="75"/>
    <x v="1"/>
    <x v="1"/>
    <x v="2"/>
    <n v="2304"/>
    <x v="1"/>
    <x v="2"/>
    <x v="11"/>
    <n v="3351"/>
    <n v="30159"/>
    <n v="17619.88"/>
    <n v="12539.12"/>
    <x v="0"/>
    <x v="2"/>
    <x v="4"/>
    <x v="388"/>
    <s v="Alta"/>
  </r>
  <r>
    <n v="945"/>
    <x v="74"/>
    <x v="3"/>
    <x v="3"/>
    <x v="3"/>
    <n v="2802"/>
    <x v="0"/>
    <x v="2"/>
    <x v="13"/>
    <n v="4299"/>
    <n v="30093"/>
    <n v="12235.74"/>
    <n v="17857.259999999998"/>
    <x v="0"/>
    <x v="1"/>
    <x v="1"/>
    <x v="389"/>
    <s v="Alta"/>
  </r>
  <r>
    <n v="300"/>
    <x v="83"/>
    <x v="1"/>
    <x v="3"/>
    <x v="1"/>
    <n v="9592"/>
    <x v="2"/>
    <x v="4"/>
    <x v="5"/>
    <n v="2006"/>
    <n v="30090"/>
    <n v="20548.27"/>
    <n v="9541.73"/>
    <x v="2"/>
    <x v="0"/>
    <x v="3"/>
    <x v="390"/>
    <s v="Média"/>
  </r>
  <r>
    <n v="190"/>
    <x v="66"/>
    <x v="2"/>
    <x v="0"/>
    <x v="1"/>
    <n v="3263"/>
    <x v="0"/>
    <x v="1"/>
    <x v="8"/>
    <n v="2490"/>
    <n v="29880"/>
    <n v="13198.17"/>
    <n v="16681.830000000002"/>
    <x v="0"/>
    <x v="1"/>
    <x v="0"/>
    <x v="391"/>
    <s v="Alta"/>
  </r>
  <r>
    <n v="710"/>
    <x v="157"/>
    <x v="1"/>
    <x v="1"/>
    <x v="1"/>
    <n v="7258"/>
    <x v="0"/>
    <x v="0"/>
    <x v="11"/>
    <n v="3304"/>
    <n v="29736"/>
    <n v="19130.560000000001"/>
    <n v="10605.44"/>
    <x v="0"/>
    <x v="1"/>
    <x v="1"/>
    <x v="392"/>
    <s v="Média"/>
  </r>
  <r>
    <n v="937"/>
    <x v="100"/>
    <x v="0"/>
    <x v="2"/>
    <x v="1"/>
    <n v="8050"/>
    <x v="1"/>
    <x v="4"/>
    <x v="14"/>
    <n v="4945"/>
    <n v="29670"/>
    <n v="20474.830000000002"/>
    <n v="9195.17"/>
    <x v="0"/>
    <x v="2"/>
    <x v="0"/>
    <x v="393"/>
    <s v="Média"/>
  </r>
  <r>
    <n v="332"/>
    <x v="89"/>
    <x v="3"/>
    <x v="1"/>
    <x v="3"/>
    <n v="9764"/>
    <x v="0"/>
    <x v="1"/>
    <x v="0"/>
    <n v="1479"/>
    <n v="29580"/>
    <n v="19770.14"/>
    <n v="9809.86"/>
    <x v="0"/>
    <x v="1"/>
    <x v="1"/>
    <x v="394"/>
    <s v="Média"/>
  </r>
  <r>
    <n v="227"/>
    <x v="160"/>
    <x v="1"/>
    <x v="4"/>
    <x v="0"/>
    <n v="4854"/>
    <x v="0"/>
    <x v="4"/>
    <x v="14"/>
    <n v="4926"/>
    <n v="29556"/>
    <n v="13950.32"/>
    <n v="15605.68"/>
    <x v="0"/>
    <x v="2"/>
    <x v="0"/>
    <x v="395"/>
    <s v="Alta"/>
  </r>
  <r>
    <n v="840"/>
    <x v="15"/>
    <x v="2"/>
    <x v="2"/>
    <x v="0"/>
    <n v="1204"/>
    <x v="0"/>
    <x v="2"/>
    <x v="2"/>
    <n v="1635"/>
    <n v="29430"/>
    <n v="17660.11"/>
    <n v="11769.89"/>
    <x v="2"/>
    <x v="1"/>
    <x v="4"/>
    <x v="396"/>
    <s v="Média"/>
  </r>
  <r>
    <n v="819"/>
    <x v="133"/>
    <x v="1"/>
    <x v="0"/>
    <x v="2"/>
    <n v="2162"/>
    <x v="1"/>
    <x v="2"/>
    <x v="3"/>
    <n v="1731"/>
    <n v="29427"/>
    <n v="11973.33"/>
    <n v="17453.669999999998"/>
    <x v="1"/>
    <x v="0"/>
    <x v="0"/>
    <x v="397"/>
    <s v="Alta"/>
  </r>
  <r>
    <n v="401"/>
    <x v="0"/>
    <x v="2"/>
    <x v="0"/>
    <x v="1"/>
    <n v="5819"/>
    <x v="1"/>
    <x v="3"/>
    <x v="4"/>
    <n v="1826"/>
    <n v="29216"/>
    <n v="22620.92"/>
    <n v="6595.08"/>
    <x v="0"/>
    <x v="1"/>
    <x v="3"/>
    <x v="398"/>
    <s v="Média"/>
  </r>
  <r>
    <n v="908"/>
    <x v="110"/>
    <x v="2"/>
    <x v="0"/>
    <x v="0"/>
    <n v="8367"/>
    <x v="2"/>
    <x v="4"/>
    <x v="4"/>
    <n v="1824"/>
    <n v="29184"/>
    <n v="12455.35"/>
    <n v="16728.650000000001"/>
    <x v="2"/>
    <x v="1"/>
    <x v="0"/>
    <x v="399"/>
    <s v="Alta"/>
  </r>
  <r>
    <n v="396"/>
    <x v="16"/>
    <x v="0"/>
    <x v="1"/>
    <x v="0"/>
    <n v="5933"/>
    <x v="2"/>
    <x v="3"/>
    <x v="0"/>
    <n v="1458"/>
    <n v="29160"/>
    <n v="21242.03"/>
    <n v="7917.97"/>
    <x v="1"/>
    <x v="0"/>
    <x v="0"/>
    <x v="400"/>
    <s v="Média"/>
  </r>
  <r>
    <n v="508"/>
    <x v="64"/>
    <x v="1"/>
    <x v="4"/>
    <x v="2"/>
    <n v="9840"/>
    <x v="0"/>
    <x v="2"/>
    <x v="12"/>
    <n v="3614"/>
    <n v="28912"/>
    <n v="22016.26"/>
    <n v="6895.74"/>
    <x v="0"/>
    <x v="0"/>
    <x v="2"/>
    <x v="401"/>
    <s v="Média"/>
  </r>
  <r>
    <n v="815"/>
    <x v="88"/>
    <x v="2"/>
    <x v="0"/>
    <x v="2"/>
    <n v="5821"/>
    <x v="2"/>
    <x v="4"/>
    <x v="8"/>
    <n v="2406"/>
    <n v="28872"/>
    <n v="21913.94"/>
    <n v="6958.06"/>
    <x v="1"/>
    <x v="1"/>
    <x v="2"/>
    <x v="402"/>
    <s v="Média"/>
  </r>
  <r>
    <n v="996"/>
    <x v="152"/>
    <x v="2"/>
    <x v="1"/>
    <x v="2"/>
    <n v="6056"/>
    <x v="2"/>
    <x v="4"/>
    <x v="11"/>
    <n v="3203"/>
    <n v="28827"/>
    <n v="15328.08"/>
    <n v="13498.92"/>
    <x v="2"/>
    <x v="2"/>
    <x v="2"/>
    <x v="403"/>
    <s v="Alta"/>
  </r>
  <r>
    <n v="468"/>
    <x v="112"/>
    <x v="2"/>
    <x v="4"/>
    <x v="1"/>
    <n v="4625"/>
    <x v="0"/>
    <x v="2"/>
    <x v="12"/>
    <n v="3597"/>
    <n v="28776"/>
    <n v="13586"/>
    <n v="15190"/>
    <x v="0"/>
    <x v="0"/>
    <x v="4"/>
    <x v="404"/>
    <s v="Alta"/>
  </r>
  <r>
    <n v="540"/>
    <x v="3"/>
    <x v="0"/>
    <x v="3"/>
    <x v="1"/>
    <n v="3232"/>
    <x v="1"/>
    <x v="1"/>
    <x v="8"/>
    <n v="2397"/>
    <n v="28764"/>
    <n v="16688.509999999998"/>
    <n v="12075.49"/>
    <x v="0"/>
    <x v="0"/>
    <x v="0"/>
    <x v="405"/>
    <s v="Alta"/>
  </r>
  <r>
    <n v="633"/>
    <x v="127"/>
    <x v="3"/>
    <x v="2"/>
    <x v="2"/>
    <n v="1708"/>
    <x v="0"/>
    <x v="3"/>
    <x v="11"/>
    <n v="3184"/>
    <n v="28656"/>
    <n v="11668.2"/>
    <n v="16987.8"/>
    <x v="0"/>
    <x v="1"/>
    <x v="1"/>
    <x v="406"/>
    <s v="Alta"/>
  </r>
  <r>
    <n v="272"/>
    <x v="25"/>
    <x v="0"/>
    <x v="4"/>
    <x v="1"/>
    <n v="3856"/>
    <x v="0"/>
    <x v="4"/>
    <x v="7"/>
    <n v="2190"/>
    <n v="28470"/>
    <n v="19841.169999999998"/>
    <n v="8628.83"/>
    <x v="0"/>
    <x v="2"/>
    <x v="4"/>
    <x v="407"/>
    <s v="Média"/>
  </r>
  <r>
    <n v="462"/>
    <x v="11"/>
    <x v="3"/>
    <x v="4"/>
    <x v="3"/>
    <n v="1649"/>
    <x v="0"/>
    <x v="2"/>
    <x v="8"/>
    <n v="2364"/>
    <n v="28368"/>
    <n v="19373.349999999999"/>
    <n v="8994.65"/>
    <x v="0"/>
    <x v="0"/>
    <x v="0"/>
    <x v="408"/>
    <s v="Média"/>
  </r>
  <r>
    <n v="18"/>
    <x v="127"/>
    <x v="2"/>
    <x v="2"/>
    <x v="1"/>
    <n v="4218"/>
    <x v="1"/>
    <x v="0"/>
    <x v="6"/>
    <n v="2022"/>
    <n v="28308"/>
    <n v="18595.86"/>
    <n v="9712.14"/>
    <x v="0"/>
    <x v="1"/>
    <x v="1"/>
    <x v="409"/>
    <s v="Média"/>
  </r>
  <r>
    <n v="186"/>
    <x v="5"/>
    <x v="1"/>
    <x v="4"/>
    <x v="2"/>
    <n v="1558"/>
    <x v="1"/>
    <x v="2"/>
    <x v="10"/>
    <n v="2828"/>
    <n v="28280"/>
    <n v="15144.71"/>
    <n v="13135.29"/>
    <x v="2"/>
    <x v="2"/>
    <x v="0"/>
    <x v="410"/>
    <s v="Alta"/>
  </r>
  <r>
    <n v="80"/>
    <x v="120"/>
    <x v="1"/>
    <x v="2"/>
    <x v="3"/>
    <n v="5523"/>
    <x v="2"/>
    <x v="1"/>
    <x v="13"/>
    <n v="4030"/>
    <n v="28210"/>
    <n v="17311.849999999999"/>
    <n v="10898.15"/>
    <x v="2"/>
    <x v="1"/>
    <x v="3"/>
    <x v="411"/>
    <s v="Média"/>
  </r>
  <r>
    <n v="512"/>
    <x v="102"/>
    <x v="3"/>
    <x v="4"/>
    <x v="3"/>
    <n v="1660"/>
    <x v="0"/>
    <x v="0"/>
    <x v="9"/>
    <n v="2564"/>
    <n v="28204"/>
    <n v="11292.78"/>
    <n v="16911.22"/>
    <x v="0"/>
    <x v="2"/>
    <x v="0"/>
    <x v="412"/>
    <s v="Alta"/>
  </r>
  <r>
    <n v="466"/>
    <x v="15"/>
    <x v="2"/>
    <x v="3"/>
    <x v="3"/>
    <n v="7435"/>
    <x v="0"/>
    <x v="3"/>
    <x v="9"/>
    <n v="2557"/>
    <n v="28127"/>
    <n v="13984.49"/>
    <n v="14142.51"/>
    <x v="2"/>
    <x v="2"/>
    <x v="1"/>
    <x v="413"/>
    <s v="Alta"/>
  </r>
  <r>
    <n v="184"/>
    <x v="102"/>
    <x v="3"/>
    <x v="0"/>
    <x v="3"/>
    <n v="5632"/>
    <x v="0"/>
    <x v="4"/>
    <x v="2"/>
    <n v="1560"/>
    <n v="28080"/>
    <n v="20366.66"/>
    <n v="7713.34"/>
    <x v="2"/>
    <x v="1"/>
    <x v="0"/>
    <x v="414"/>
    <s v="Média"/>
  </r>
  <r>
    <n v="658"/>
    <x v="161"/>
    <x v="3"/>
    <x v="3"/>
    <x v="3"/>
    <n v="1796"/>
    <x v="0"/>
    <x v="2"/>
    <x v="7"/>
    <n v="2160"/>
    <n v="28080"/>
    <n v="18077.75"/>
    <n v="10002.25"/>
    <x v="0"/>
    <x v="1"/>
    <x v="0"/>
    <x v="415"/>
    <s v="Média"/>
  </r>
  <r>
    <n v="964"/>
    <x v="65"/>
    <x v="3"/>
    <x v="2"/>
    <x v="2"/>
    <n v="3967"/>
    <x v="0"/>
    <x v="2"/>
    <x v="14"/>
    <n v="4659"/>
    <n v="27954"/>
    <n v="15760.05"/>
    <n v="12193.95"/>
    <x v="0"/>
    <x v="1"/>
    <x v="4"/>
    <x v="416"/>
    <s v="Alta"/>
  </r>
  <r>
    <n v="591"/>
    <x v="52"/>
    <x v="2"/>
    <x v="1"/>
    <x v="3"/>
    <n v="1664"/>
    <x v="1"/>
    <x v="2"/>
    <x v="8"/>
    <n v="2322"/>
    <n v="27864"/>
    <n v="22112.28"/>
    <n v="5751.72"/>
    <x v="2"/>
    <x v="0"/>
    <x v="2"/>
    <x v="417"/>
    <s v="Média"/>
  </r>
  <r>
    <n v="877"/>
    <x v="66"/>
    <x v="2"/>
    <x v="0"/>
    <x v="3"/>
    <n v="7138"/>
    <x v="2"/>
    <x v="4"/>
    <x v="10"/>
    <n v="2775"/>
    <n v="27750"/>
    <n v="16148.12"/>
    <n v="11601.88"/>
    <x v="2"/>
    <x v="2"/>
    <x v="2"/>
    <x v="418"/>
    <s v="Alta"/>
  </r>
  <r>
    <n v="606"/>
    <x v="61"/>
    <x v="1"/>
    <x v="2"/>
    <x v="1"/>
    <n v="6535"/>
    <x v="2"/>
    <x v="0"/>
    <x v="13"/>
    <n v="3953"/>
    <n v="27671"/>
    <n v="15705.32"/>
    <n v="11965.68"/>
    <x v="2"/>
    <x v="0"/>
    <x v="0"/>
    <x v="419"/>
    <s v="Alta"/>
  </r>
  <r>
    <n v="839"/>
    <x v="162"/>
    <x v="2"/>
    <x v="1"/>
    <x v="1"/>
    <n v="4789"/>
    <x v="2"/>
    <x v="4"/>
    <x v="4"/>
    <n v="1728"/>
    <n v="27648"/>
    <n v="19084.59"/>
    <n v="8563.41"/>
    <x v="2"/>
    <x v="0"/>
    <x v="4"/>
    <x v="420"/>
    <s v="Média"/>
  </r>
  <r>
    <n v="960"/>
    <x v="163"/>
    <x v="1"/>
    <x v="4"/>
    <x v="3"/>
    <n v="1245"/>
    <x v="1"/>
    <x v="3"/>
    <x v="13"/>
    <n v="3945"/>
    <n v="27615"/>
    <n v="15813.29"/>
    <n v="11801.71"/>
    <x v="1"/>
    <x v="0"/>
    <x v="2"/>
    <x v="421"/>
    <s v="Alta"/>
  </r>
  <r>
    <n v="599"/>
    <x v="9"/>
    <x v="2"/>
    <x v="4"/>
    <x v="1"/>
    <n v="9602"/>
    <x v="1"/>
    <x v="0"/>
    <x v="7"/>
    <n v="2122"/>
    <n v="27586"/>
    <n v="13562.34"/>
    <n v="14023.66"/>
    <x v="2"/>
    <x v="0"/>
    <x v="1"/>
    <x v="422"/>
    <s v="Alta"/>
  </r>
  <r>
    <n v="407"/>
    <x v="64"/>
    <x v="0"/>
    <x v="0"/>
    <x v="3"/>
    <n v="1004"/>
    <x v="0"/>
    <x v="1"/>
    <x v="12"/>
    <n v="3447"/>
    <n v="27576"/>
    <n v="17522.599999999999"/>
    <n v="10053.4"/>
    <x v="1"/>
    <x v="1"/>
    <x v="4"/>
    <x v="423"/>
    <s v="Média"/>
  </r>
  <r>
    <n v="1000"/>
    <x v="161"/>
    <x v="1"/>
    <x v="2"/>
    <x v="0"/>
    <n v="6908"/>
    <x v="2"/>
    <x v="0"/>
    <x v="7"/>
    <n v="2118"/>
    <n v="27534"/>
    <n v="19813.57"/>
    <n v="7720.43"/>
    <x v="1"/>
    <x v="2"/>
    <x v="1"/>
    <x v="424"/>
    <s v="Média"/>
  </r>
  <r>
    <n v="173"/>
    <x v="102"/>
    <x v="1"/>
    <x v="1"/>
    <x v="3"/>
    <n v="9377"/>
    <x v="2"/>
    <x v="2"/>
    <x v="9"/>
    <n v="2498"/>
    <n v="27478"/>
    <n v="18269"/>
    <n v="9209"/>
    <x v="1"/>
    <x v="0"/>
    <x v="2"/>
    <x v="425"/>
    <s v="Média"/>
  </r>
  <r>
    <n v="866"/>
    <x v="83"/>
    <x v="0"/>
    <x v="0"/>
    <x v="0"/>
    <n v="2867"/>
    <x v="1"/>
    <x v="1"/>
    <x v="4"/>
    <n v="1711"/>
    <n v="27376"/>
    <n v="16313.98"/>
    <n v="11062.02"/>
    <x v="2"/>
    <x v="0"/>
    <x v="1"/>
    <x v="426"/>
    <s v="Alta"/>
  </r>
  <r>
    <n v="818"/>
    <x v="164"/>
    <x v="1"/>
    <x v="1"/>
    <x v="3"/>
    <n v="3600"/>
    <x v="1"/>
    <x v="1"/>
    <x v="14"/>
    <n v="4556"/>
    <n v="27336"/>
    <n v="15209.42"/>
    <n v="12126.58"/>
    <x v="0"/>
    <x v="2"/>
    <x v="3"/>
    <x v="427"/>
    <s v="Alta"/>
  </r>
  <r>
    <n v="217"/>
    <x v="23"/>
    <x v="3"/>
    <x v="0"/>
    <x v="3"/>
    <n v="5903"/>
    <x v="2"/>
    <x v="1"/>
    <x v="6"/>
    <n v="1951"/>
    <n v="27314"/>
    <n v="15046.36"/>
    <n v="12267.64"/>
    <x v="1"/>
    <x v="2"/>
    <x v="3"/>
    <x v="428"/>
    <s v="Alta"/>
  </r>
  <r>
    <n v="430"/>
    <x v="25"/>
    <x v="3"/>
    <x v="4"/>
    <x v="1"/>
    <n v="5261"/>
    <x v="0"/>
    <x v="1"/>
    <x v="3"/>
    <n v="1604"/>
    <n v="27268"/>
    <n v="16783.349999999999"/>
    <n v="10484.65"/>
    <x v="0"/>
    <x v="1"/>
    <x v="2"/>
    <x v="429"/>
    <s v="Média"/>
  </r>
  <r>
    <n v="593"/>
    <x v="87"/>
    <x v="3"/>
    <x v="2"/>
    <x v="0"/>
    <n v="6568"/>
    <x v="2"/>
    <x v="2"/>
    <x v="14"/>
    <n v="4543"/>
    <n v="27258"/>
    <n v="16334.62"/>
    <n v="10923.38"/>
    <x v="1"/>
    <x v="1"/>
    <x v="0"/>
    <x v="430"/>
    <s v="Alta"/>
  </r>
  <r>
    <n v="556"/>
    <x v="71"/>
    <x v="3"/>
    <x v="2"/>
    <x v="3"/>
    <n v="4133"/>
    <x v="2"/>
    <x v="2"/>
    <x v="6"/>
    <n v="1945"/>
    <n v="27230"/>
    <n v="16146.65"/>
    <n v="11083.35"/>
    <x v="1"/>
    <x v="1"/>
    <x v="0"/>
    <x v="431"/>
    <s v="Alta"/>
  </r>
  <r>
    <n v="33"/>
    <x v="165"/>
    <x v="2"/>
    <x v="2"/>
    <x v="0"/>
    <n v="2157"/>
    <x v="2"/>
    <x v="2"/>
    <x v="13"/>
    <n v="3881"/>
    <n v="27167"/>
    <n v="17255.84"/>
    <n v="9911.16"/>
    <x v="1"/>
    <x v="2"/>
    <x v="0"/>
    <x v="432"/>
    <s v="Média"/>
  </r>
  <r>
    <n v="870"/>
    <x v="135"/>
    <x v="3"/>
    <x v="2"/>
    <x v="1"/>
    <n v="2138"/>
    <x v="0"/>
    <x v="1"/>
    <x v="7"/>
    <n v="2084"/>
    <n v="27092"/>
    <n v="16372.41"/>
    <n v="10719.59"/>
    <x v="0"/>
    <x v="0"/>
    <x v="1"/>
    <x v="433"/>
    <s v="Média"/>
  </r>
  <r>
    <n v="685"/>
    <x v="166"/>
    <x v="3"/>
    <x v="4"/>
    <x v="1"/>
    <n v="2516"/>
    <x v="2"/>
    <x v="4"/>
    <x v="8"/>
    <n v="2256"/>
    <n v="27072"/>
    <n v="18072.32"/>
    <n v="8999.68"/>
    <x v="0"/>
    <x v="0"/>
    <x v="1"/>
    <x v="434"/>
    <s v="Média"/>
  </r>
  <r>
    <n v="4"/>
    <x v="88"/>
    <x v="1"/>
    <x v="2"/>
    <x v="2"/>
    <n v="6563"/>
    <x v="1"/>
    <x v="3"/>
    <x v="8"/>
    <n v="2246"/>
    <n v="26952"/>
    <n v="12164.59"/>
    <n v="14787.41"/>
    <x v="2"/>
    <x v="0"/>
    <x v="4"/>
    <x v="435"/>
    <s v="Alta"/>
  </r>
  <r>
    <n v="799"/>
    <x v="131"/>
    <x v="0"/>
    <x v="0"/>
    <x v="2"/>
    <n v="1204"/>
    <x v="1"/>
    <x v="2"/>
    <x v="14"/>
    <n v="4491"/>
    <n v="26946"/>
    <n v="20260.43"/>
    <n v="6685.57"/>
    <x v="0"/>
    <x v="2"/>
    <x v="2"/>
    <x v="436"/>
    <s v="Média"/>
  </r>
  <r>
    <n v="910"/>
    <x v="128"/>
    <x v="1"/>
    <x v="2"/>
    <x v="1"/>
    <n v="4151"/>
    <x v="1"/>
    <x v="0"/>
    <x v="4"/>
    <n v="1683"/>
    <n v="26928"/>
    <n v="20059.96"/>
    <n v="6868.04"/>
    <x v="1"/>
    <x v="0"/>
    <x v="4"/>
    <x v="437"/>
    <s v="Média"/>
  </r>
  <r>
    <n v="263"/>
    <x v="133"/>
    <x v="0"/>
    <x v="4"/>
    <x v="1"/>
    <n v="8930"/>
    <x v="1"/>
    <x v="1"/>
    <x v="6"/>
    <n v="1917"/>
    <n v="26838"/>
    <n v="14944.72"/>
    <n v="11893.28"/>
    <x v="2"/>
    <x v="0"/>
    <x v="0"/>
    <x v="438"/>
    <s v="Alta"/>
  </r>
  <r>
    <n v="992"/>
    <x v="83"/>
    <x v="0"/>
    <x v="0"/>
    <x v="3"/>
    <n v="7354"/>
    <x v="1"/>
    <x v="2"/>
    <x v="11"/>
    <n v="2957"/>
    <n v="26613"/>
    <n v="17325.84"/>
    <n v="9287.16"/>
    <x v="2"/>
    <x v="1"/>
    <x v="3"/>
    <x v="439"/>
    <s v="Média"/>
  </r>
  <r>
    <n v="54"/>
    <x v="114"/>
    <x v="0"/>
    <x v="1"/>
    <x v="1"/>
    <n v="3862"/>
    <x v="0"/>
    <x v="0"/>
    <x v="13"/>
    <n v="3745"/>
    <n v="26215"/>
    <n v="11917.15"/>
    <n v="14297.85"/>
    <x v="2"/>
    <x v="1"/>
    <x v="0"/>
    <x v="440"/>
    <s v="Alta"/>
  </r>
  <r>
    <n v="168"/>
    <x v="138"/>
    <x v="0"/>
    <x v="2"/>
    <x v="3"/>
    <n v="8162"/>
    <x v="2"/>
    <x v="2"/>
    <x v="1"/>
    <n v="1378"/>
    <n v="26182"/>
    <n v="11964.5"/>
    <n v="14217.5"/>
    <x v="2"/>
    <x v="0"/>
    <x v="4"/>
    <x v="441"/>
    <s v="Alta"/>
  </r>
  <r>
    <n v="693"/>
    <x v="106"/>
    <x v="0"/>
    <x v="4"/>
    <x v="2"/>
    <n v="1072"/>
    <x v="0"/>
    <x v="1"/>
    <x v="13"/>
    <n v="3735"/>
    <n v="26145"/>
    <n v="19452.490000000002"/>
    <n v="6692.51"/>
    <x v="2"/>
    <x v="2"/>
    <x v="4"/>
    <x v="442"/>
    <s v="Média"/>
  </r>
  <r>
    <n v="416"/>
    <x v="145"/>
    <x v="0"/>
    <x v="0"/>
    <x v="3"/>
    <n v="1002"/>
    <x v="2"/>
    <x v="1"/>
    <x v="13"/>
    <n v="3722"/>
    <n v="26054"/>
    <n v="15869.7"/>
    <n v="10184.299999999999"/>
    <x v="0"/>
    <x v="0"/>
    <x v="3"/>
    <x v="443"/>
    <s v="Média"/>
  </r>
  <r>
    <n v="487"/>
    <x v="63"/>
    <x v="2"/>
    <x v="4"/>
    <x v="0"/>
    <n v="9742"/>
    <x v="2"/>
    <x v="3"/>
    <x v="8"/>
    <n v="2170"/>
    <n v="26040"/>
    <n v="18205.150000000001"/>
    <n v="7834.85"/>
    <x v="0"/>
    <x v="1"/>
    <x v="1"/>
    <x v="444"/>
    <s v="Média"/>
  </r>
  <r>
    <n v="891"/>
    <x v="31"/>
    <x v="0"/>
    <x v="4"/>
    <x v="3"/>
    <n v="5704"/>
    <x v="1"/>
    <x v="0"/>
    <x v="5"/>
    <n v="1720"/>
    <n v="25800"/>
    <n v="10602.09"/>
    <n v="15197.91"/>
    <x v="2"/>
    <x v="2"/>
    <x v="1"/>
    <x v="445"/>
    <s v="Alta"/>
  </r>
  <r>
    <n v="609"/>
    <x v="121"/>
    <x v="3"/>
    <x v="1"/>
    <x v="0"/>
    <n v="7844"/>
    <x v="0"/>
    <x v="0"/>
    <x v="6"/>
    <n v="1842"/>
    <n v="25788"/>
    <n v="11671.18"/>
    <n v="14116.82"/>
    <x v="1"/>
    <x v="0"/>
    <x v="1"/>
    <x v="446"/>
    <s v="Alta"/>
  </r>
  <r>
    <n v="890"/>
    <x v="153"/>
    <x v="1"/>
    <x v="3"/>
    <x v="2"/>
    <n v="1684"/>
    <x v="0"/>
    <x v="3"/>
    <x v="11"/>
    <n v="2839"/>
    <n v="25551"/>
    <n v="10224.540000000001"/>
    <n v="15326.46"/>
    <x v="2"/>
    <x v="2"/>
    <x v="4"/>
    <x v="447"/>
    <s v="Alta"/>
  </r>
  <r>
    <n v="159"/>
    <x v="72"/>
    <x v="1"/>
    <x v="1"/>
    <x v="1"/>
    <n v="3613"/>
    <x v="2"/>
    <x v="4"/>
    <x v="0"/>
    <n v="1276"/>
    <n v="25520"/>
    <n v="18232.23"/>
    <n v="7287.77"/>
    <x v="1"/>
    <x v="2"/>
    <x v="2"/>
    <x v="448"/>
    <s v="Média"/>
  </r>
  <r>
    <n v="278"/>
    <x v="50"/>
    <x v="2"/>
    <x v="0"/>
    <x v="3"/>
    <n v="1048"/>
    <x v="2"/>
    <x v="2"/>
    <x v="14"/>
    <n v="4241"/>
    <n v="25446"/>
    <n v="13869.92"/>
    <n v="11576.08"/>
    <x v="0"/>
    <x v="0"/>
    <x v="0"/>
    <x v="449"/>
    <s v="Alta"/>
  </r>
  <r>
    <n v="235"/>
    <x v="125"/>
    <x v="0"/>
    <x v="2"/>
    <x v="2"/>
    <n v="4303"/>
    <x v="2"/>
    <x v="4"/>
    <x v="11"/>
    <n v="2815"/>
    <n v="25335"/>
    <n v="19223.25"/>
    <n v="6111.75"/>
    <x v="0"/>
    <x v="0"/>
    <x v="0"/>
    <x v="450"/>
    <s v="Média"/>
  </r>
  <r>
    <n v="347"/>
    <x v="42"/>
    <x v="2"/>
    <x v="0"/>
    <x v="2"/>
    <n v="9806"/>
    <x v="0"/>
    <x v="4"/>
    <x v="9"/>
    <n v="2300"/>
    <n v="25300"/>
    <n v="16861.77"/>
    <n v="8438.23"/>
    <x v="0"/>
    <x v="2"/>
    <x v="4"/>
    <x v="451"/>
    <s v="Média"/>
  </r>
  <r>
    <n v="122"/>
    <x v="56"/>
    <x v="1"/>
    <x v="0"/>
    <x v="2"/>
    <n v="9640"/>
    <x v="2"/>
    <x v="2"/>
    <x v="11"/>
    <n v="2804"/>
    <n v="25236"/>
    <n v="12064.39"/>
    <n v="13171.61"/>
    <x v="0"/>
    <x v="0"/>
    <x v="0"/>
    <x v="452"/>
    <s v="Alta"/>
  </r>
  <r>
    <n v="394"/>
    <x v="130"/>
    <x v="3"/>
    <x v="2"/>
    <x v="2"/>
    <n v="3633"/>
    <x v="2"/>
    <x v="2"/>
    <x v="5"/>
    <n v="1681"/>
    <n v="25215"/>
    <n v="17716.82"/>
    <n v="7498.18"/>
    <x v="1"/>
    <x v="2"/>
    <x v="2"/>
    <x v="453"/>
    <s v="Média"/>
  </r>
  <r>
    <n v="539"/>
    <x v="108"/>
    <x v="3"/>
    <x v="1"/>
    <x v="1"/>
    <n v="6548"/>
    <x v="0"/>
    <x v="2"/>
    <x v="9"/>
    <n v="2287"/>
    <n v="25157"/>
    <n v="13293.12"/>
    <n v="11863.88"/>
    <x v="1"/>
    <x v="2"/>
    <x v="0"/>
    <x v="454"/>
    <s v="Alta"/>
  </r>
  <r>
    <n v="314"/>
    <x v="17"/>
    <x v="3"/>
    <x v="1"/>
    <x v="0"/>
    <n v="7230"/>
    <x v="0"/>
    <x v="0"/>
    <x v="1"/>
    <n v="1313"/>
    <n v="24947"/>
    <n v="15108.44"/>
    <n v="9838.56"/>
    <x v="1"/>
    <x v="1"/>
    <x v="3"/>
    <x v="455"/>
    <s v="Média"/>
  </r>
  <r>
    <n v="248"/>
    <x v="145"/>
    <x v="3"/>
    <x v="0"/>
    <x v="3"/>
    <n v="7073"/>
    <x v="1"/>
    <x v="2"/>
    <x v="12"/>
    <n v="3117"/>
    <n v="24936"/>
    <n v="19244.14"/>
    <n v="5691.86"/>
    <x v="1"/>
    <x v="2"/>
    <x v="0"/>
    <x v="456"/>
    <s v="Média"/>
  </r>
  <r>
    <n v="76"/>
    <x v="55"/>
    <x v="1"/>
    <x v="1"/>
    <x v="0"/>
    <n v="3064"/>
    <x v="1"/>
    <x v="0"/>
    <x v="15"/>
    <n v="4977"/>
    <n v="24885"/>
    <n v="15352.67"/>
    <n v="9532.33"/>
    <x v="1"/>
    <x v="0"/>
    <x v="4"/>
    <x v="457"/>
    <s v="Média"/>
  </r>
  <r>
    <n v="680"/>
    <x v="111"/>
    <x v="0"/>
    <x v="2"/>
    <x v="3"/>
    <n v="6745"/>
    <x v="2"/>
    <x v="4"/>
    <x v="7"/>
    <n v="1914"/>
    <n v="24882"/>
    <n v="15804.6"/>
    <n v="9077.4"/>
    <x v="0"/>
    <x v="2"/>
    <x v="3"/>
    <x v="458"/>
    <s v="Média"/>
  </r>
  <r>
    <n v="440"/>
    <x v="104"/>
    <x v="3"/>
    <x v="4"/>
    <x v="1"/>
    <n v="8243"/>
    <x v="2"/>
    <x v="1"/>
    <x v="10"/>
    <n v="2485"/>
    <n v="24850"/>
    <n v="18730.16"/>
    <n v="6119.84"/>
    <x v="1"/>
    <x v="2"/>
    <x v="2"/>
    <x v="459"/>
    <s v="Média"/>
  </r>
  <r>
    <n v="784"/>
    <x v="141"/>
    <x v="2"/>
    <x v="1"/>
    <x v="2"/>
    <n v="2043"/>
    <x v="0"/>
    <x v="0"/>
    <x v="1"/>
    <n v="1307"/>
    <n v="24833"/>
    <n v="14897.82"/>
    <n v="9935.18"/>
    <x v="1"/>
    <x v="1"/>
    <x v="3"/>
    <x v="460"/>
    <s v="Alta"/>
  </r>
  <r>
    <n v="287"/>
    <x v="32"/>
    <x v="3"/>
    <x v="4"/>
    <x v="0"/>
    <n v="4939"/>
    <x v="1"/>
    <x v="2"/>
    <x v="1"/>
    <n v="1306"/>
    <n v="24814"/>
    <n v="15593.87"/>
    <n v="9220.1299999999992"/>
    <x v="2"/>
    <x v="1"/>
    <x v="3"/>
    <x v="461"/>
    <s v="Média"/>
  </r>
  <r>
    <n v="358"/>
    <x v="89"/>
    <x v="1"/>
    <x v="0"/>
    <x v="0"/>
    <n v="8551"/>
    <x v="1"/>
    <x v="1"/>
    <x v="9"/>
    <n v="2253"/>
    <n v="24783"/>
    <n v="11361.49"/>
    <n v="13421.51"/>
    <x v="2"/>
    <x v="1"/>
    <x v="2"/>
    <x v="462"/>
    <s v="Alta"/>
  </r>
  <r>
    <n v="501"/>
    <x v="167"/>
    <x v="1"/>
    <x v="4"/>
    <x v="0"/>
    <n v="3283"/>
    <x v="1"/>
    <x v="2"/>
    <x v="6"/>
    <n v="1764"/>
    <n v="24696"/>
    <n v="17500.080000000002"/>
    <n v="7195.92"/>
    <x v="2"/>
    <x v="0"/>
    <x v="4"/>
    <x v="463"/>
    <s v="Média"/>
  </r>
  <r>
    <n v="246"/>
    <x v="34"/>
    <x v="3"/>
    <x v="4"/>
    <x v="0"/>
    <n v="8799"/>
    <x v="1"/>
    <x v="1"/>
    <x v="14"/>
    <n v="4105"/>
    <n v="24630"/>
    <n v="17925.939999999999"/>
    <n v="6704.06"/>
    <x v="1"/>
    <x v="1"/>
    <x v="0"/>
    <x v="464"/>
    <s v="Média"/>
  </r>
  <r>
    <n v="533"/>
    <x v="168"/>
    <x v="0"/>
    <x v="0"/>
    <x v="2"/>
    <n v="1883"/>
    <x v="2"/>
    <x v="1"/>
    <x v="10"/>
    <n v="2445"/>
    <n v="24450"/>
    <n v="13638.49"/>
    <n v="10811.51"/>
    <x v="1"/>
    <x v="1"/>
    <x v="2"/>
    <x v="465"/>
    <s v="Alta"/>
  </r>
  <r>
    <n v="384"/>
    <x v="137"/>
    <x v="1"/>
    <x v="3"/>
    <x v="0"/>
    <n v="8745"/>
    <x v="0"/>
    <x v="2"/>
    <x v="2"/>
    <n v="1357"/>
    <n v="24426"/>
    <n v="10120.09"/>
    <n v="14305.91"/>
    <x v="0"/>
    <x v="0"/>
    <x v="1"/>
    <x v="466"/>
    <s v="Alta"/>
  </r>
  <r>
    <n v="496"/>
    <x v="69"/>
    <x v="0"/>
    <x v="4"/>
    <x v="0"/>
    <n v="2339"/>
    <x v="0"/>
    <x v="3"/>
    <x v="4"/>
    <n v="1519"/>
    <n v="24304"/>
    <n v="13561.74"/>
    <n v="10742.26"/>
    <x v="1"/>
    <x v="1"/>
    <x v="1"/>
    <x v="467"/>
    <s v="Alta"/>
  </r>
  <r>
    <n v="180"/>
    <x v="113"/>
    <x v="3"/>
    <x v="4"/>
    <x v="3"/>
    <n v="1058"/>
    <x v="0"/>
    <x v="0"/>
    <x v="13"/>
    <n v="3471"/>
    <n v="24297"/>
    <n v="10570.75"/>
    <n v="13726.25"/>
    <x v="2"/>
    <x v="1"/>
    <x v="4"/>
    <x v="468"/>
    <s v="Alta"/>
  </r>
  <r>
    <n v="183"/>
    <x v="24"/>
    <x v="0"/>
    <x v="0"/>
    <x v="2"/>
    <n v="3967"/>
    <x v="0"/>
    <x v="4"/>
    <x v="15"/>
    <n v="4859"/>
    <n v="24295"/>
    <n v="16821.55"/>
    <n v="7473.45"/>
    <x v="0"/>
    <x v="0"/>
    <x v="4"/>
    <x v="469"/>
    <s v="Média"/>
  </r>
  <r>
    <n v="511"/>
    <x v="121"/>
    <x v="1"/>
    <x v="0"/>
    <x v="0"/>
    <n v="7099"/>
    <x v="2"/>
    <x v="4"/>
    <x v="6"/>
    <n v="1735"/>
    <n v="24290"/>
    <n v="11744.05"/>
    <n v="12545.95"/>
    <x v="1"/>
    <x v="0"/>
    <x v="3"/>
    <x v="470"/>
    <s v="Alta"/>
  </r>
  <r>
    <n v="171"/>
    <x v="44"/>
    <x v="0"/>
    <x v="1"/>
    <x v="0"/>
    <n v="1345"/>
    <x v="2"/>
    <x v="0"/>
    <x v="6"/>
    <n v="1733"/>
    <n v="24262"/>
    <n v="13977.69"/>
    <n v="10284.31"/>
    <x v="2"/>
    <x v="2"/>
    <x v="2"/>
    <x v="471"/>
    <s v="Alta"/>
  </r>
  <r>
    <n v="307"/>
    <x v="104"/>
    <x v="2"/>
    <x v="2"/>
    <x v="3"/>
    <n v="6264"/>
    <x v="1"/>
    <x v="1"/>
    <x v="15"/>
    <n v="4842"/>
    <n v="24210"/>
    <n v="12455.65"/>
    <n v="11754.35"/>
    <x v="1"/>
    <x v="2"/>
    <x v="2"/>
    <x v="472"/>
    <s v="Alta"/>
  </r>
  <r>
    <n v="811"/>
    <x v="128"/>
    <x v="0"/>
    <x v="4"/>
    <x v="1"/>
    <n v="8830"/>
    <x v="2"/>
    <x v="3"/>
    <x v="8"/>
    <n v="2014"/>
    <n v="24168"/>
    <n v="12526.52"/>
    <n v="11641.48"/>
    <x v="1"/>
    <x v="2"/>
    <x v="2"/>
    <x v="473"/>
    <s v="Alta"/>
  </r>
  <r>
    <n v="771"/>
    <x v="74"/>
    <x v="1"/>
    <x v="3"/>
    <x v="0"/>
    <n v="3999"/>
    <x v="1"/>
    <x v="3"/>
    <x v="13"/>
    <n v="3440"/>
    <n v="24080"/>
    <n v="13260.63"/>
    <n v="10819.37"/>
    <x v="2"/>
    <x v="1"/>
    <x v="0"/>
    <x v="474"/>
    <s v="Alta"/>
  </r>
  <r>
    <n v="368"/>
    <x v="0"/>
    <x v="0"/>
    <x v="3"/>
    <x v="2"/>
    <n v="2091"/>
    <x v="1"/>
    <x v="3"/>
    <x v="15"/>
    <n v="4802"/>
    <n v="24010"/>
    <n v="16804.919999999998"/>
    <n v="7205.08"/>
    <x v="0"/>
    <x v="0"/>
    <x v="0"/>
    <x v="475"/>
    <s v="Média"/>
  </r>
  <r>
    <n v="94"/>
    <x v="24"/>
    <x v="3"/>
    <x v="0"/>
    <x v="1"/>
    <n v="3347"/>
    <x v="0"/>
    <x v="4"/>
    <x v="0"/>
    <n v="1200"/>
    <n v="24000"/>
    <n v="11606.16"/>
    <n v="12393.84"/>
    <x v="0"/>
    <x v="1"/>
    <x v="4"/>
    <x v="476"/>
    <s v="Alta"/>
  </r>
  <r>
    <n v="573"/>
    <x v="112"/>
    <x v="1"/>
    <x v="1"/>
    <x v="0"/>
    <n v="4804"/>
    <x v="2"/>
    <x v="3"/>
    <x v="3"/>
    <n v="1406"/>
    <n v="23902"/>
    <n v="12041.46"/>
    <n v="11860.54"/>
    <x v="0"/>
    <x v="1"/>
    <x v="1"/>
    <x v="477"/>
    <s v="Alta"/>
  </r>
  <r>
    <n v="302"/>
    <x v="102"/>
    <x v="3"/>
    <x v="3"/>
    <x v="2"/>
    <n v="4627"/>
    <x v="1"/>
    <x v="4"/>
    <x v="15"/>
    <n v="4774"/>
    <n v="23870"/>
    <n v="15146.76"/>
    <n v="8723.24"/>
    <x v="2"/>
    <x v="0"/>
    <x v="2"/>
    <x v="478"/>
    <s v="Média"/>
  </r>
  <r>
    <n v="925"/>
    <x v="169"/>
    <x v="0"/>
    <x v="4"/>
    <x v="3"/>
    <n v="8871"/>
    <x v="0"/>
    <x v="2"/>
    <x v="6"/>
    <n v="1700"/>
    <n v="23800"/>
    <n v="17918.88"/>
    <n v="5881.12"/>
    <x v="2"/>
    <x v="0"/>
    <x v="4"/>
    <x v="479"/>
    <s v="Média"/>
  </r>
  <r>
    <n v="223"/>
    <x v="50"/>
    <x v="0"/>
    <x v="1"/>
    <x v="3"/>
    <n v="5627"/>
    <x v="1"/>
    <x v="4"/>
    <x v="2"/>
    <n v="1322"/>
    <n v="23796"/>
    <n v="17946.009999999998"/>
    <n v="5849.99"/>
    <x v="2"/>
    <x v="2"/>
    <x v="4"/>
    <x v="480"/>
    <s v="Média"/>
  </r>
  <r>
    <n v="303"/>
    <x v="135"/>
    <x v="3"/>
    <x v="1"/>
    <x v="1"/>
    <n v="8059"/>
    <x v="2"/>
    <x v="4"/>
    <x v="9"/>
    <n v="2155"/>
    <n v="23705"/>
    <n v="12729.6"/>
    <n v="10975.4"/>
    <x v="0"/>
    <x v="1"/>
    <x v="3"/>
    <x v="481"/>
    <s v="Alta"/>
  </r>
  <r>
    <n v="826"/>
    <x v="72"/>
    <x v="2"/>
    <x v="4"/>
    <x v="3"/>
    <n v="2823"/>
    <x v="0"/>
    <x v="3"/>
    <x v="0"/>
    <n v="1183"/>
    <n v="23660"/>
    <n v="12743.28"/>
    <n v="10916.72"/>
    <x v="2"/>
    <x v="0"/>
    <x v="4"/>
    <x v="482"/>
    <s v="Alta"/>
  </r>
  <r>
    <n v="855"/>
    <x v="139"/>
    <x v="0"/>
    <x v="0"/>
    <x v="2"/>
    <n v="7369"/>
    <x v="0"/>
    <x v="3"/>
    <x v="5"/>
    <n v="1573"/>
    <n v="23595"/>
    <n v="12007.99"/>
    <n v="11587.01"/>
    <x v="0"/>
    <x v="2"/>
    <x v="2"/>
    <x v="483"/>
    <s v="Alta"/>
  </r>
  <r>
    <n v="305"/>
    <x v="119"/>
    <x v="0"/>
    <x v="2"/>
    <x v="3"/>
    <n v="7289"/>
    <x v="2"/>
    <x v="1"/>
    <x v="15"/>
    <n v="4711"/>
    <n v="23555"/>
    <n v="12987.09"/>
    <n v="10567.91"/>
    <x v="1"/>
    <x v="0"/>
    <x v="2"/>
    <x v="484"/>
    <s v="Alta"/>
  </r>
  <r>
    <n v="719"/>
    <x v="53"/>
    <x v="2"/>
    <x v="2"/>
    <x v="0"/>
    <n v="1612"/>
    <x v="0"/>
    <x v="3"/>
    <x v="5"/>
    <n v="1570"/>
    <n v="23550"/>
    <n v="10298.209999999999"/>
    <n v="13251.79"/>
    <x v="1"/>
    <x v="1"/>
    <x v="4"/>
    <x v="485"/>
    <s v="Alta"/>
  </r>
  <r>
    <n v="165"/>
    <x v="132"/>
    <x v="1"/>
    <x v="2"/>
    <x v="1"/>
    <n v="2895"/>
    <x v="1"/>
    <x v="3"/>
    <x v="3"/>
    <n v="1379"/>
    <n v="23443"/>
    <n v="11539.7"/>
    <n v="11903.3"/>
    <x v="2"/>
    <x v="2"/>
    <x v="3"/>
    <x v="486"/>
    <s v="Alta"/>
  </r>
  <r>
    <n v="433"/>
    <x v="118"/>
    <x v="2"/>
    <x v="1"/>
    <x v="0"/>
    <n v="6880"/>
    <x v="2"/>
    <x v="3"/>
    <x v="5"/>
    <n v="1562"/>
    <n v="23430"/>
    <n v="14395.2"/>
    <n v="9034.7999999999993"/>
    <x v="0"/>
    <x v="2"/>
    <x v="0"/>
    <x v="487"/>
    <s v="Média"/>
  </r>
  <r>
    <n v="618"/>
    <x v="67"/>
    <x v="1"/>
    <x v="3"/>
    <x v="2"/>
    <n v="2277"/>
    <x v="2"/>
    <x v="3"/>
    <x v="10"/>
    <n v="2336"/>
    <n v="23360"/>
    <n v="11500.33"/>
    <n v="11859.67"/>
    <x v="1"/>
    <x v="2"/>
    <x v="2"/>
    <x v="488"/>
    <s v="Alta"/>
  </r>
  <r>
    <n v="279"/>
    <x v="146"/>
    <x v="1"/>
    <x v="3"/>
    <x v="1"/>
    <n v="5596"/>
    <x v="0"/>
    <x v="1"/>
    <x v="0"/>
    <n v="1166"/>
    <n v="23320"/>
    <n v="15639.97"/>
    <n v="7680.03"/>
    <x v="1"/>
    <x v="1"/>
    <x v="0"/>
    <x v="489"/>
    <s v="Média"/>
  </r>
  <r>
    <n v="132"/>
    <x v="124"/>
    <x v="3"/>
    <x v="1"/>
    <x v="1"/>
    <n v="8537"/>
    <x v="0"/>
    <x v="0"/>
    <x v="13"/>
    <n v="3325"/>
    <n v="23275"/>
    <n v="10033.74"/>
    <n v="13241.26"/>
    <x v="0"/>
    <x v="0"/>
    <x v="1"/>
    <x v="490"/>
    <s v="Alta"/>
  </r>
  <r>
    <n v="869"/>
    <x v="1"/>
    <x v="2"/>
    <x v="4"/>
    <x v="1"/>
    <n v="4895"/>
    <x v="1"/>
    <x v="4"/>
    <x v="13"/>
    <n v="3308"/>
    <n v="23156"/>
    <n v="10887.65"/>
    <n v="12268.35"/>
    <x v="1"/>
    <x v="0"/>
    <x v="3"/>
    <x v="491"/>
    <s v="Alta"/>
  </r>
  <r>
    <n v="386"/>
    <x v="47"/>
    <x v="2"/>
    <x v="4"/>
    <x v="3"/>
    <n v="9652"/>
    <x v="1"/>
    <x v="2"/>
    <x v="4"/>
    <n v="1445"/>
    <n v="23120"/>
    <n v="14998.58"/>
    <n v="8121.42"/>
    <x v="0"/>
    <x v="1"/>
    <x v="0"/>
    <x v="492"/>
    <s v="Média"/>
  </r>
  <r>
    <n v="224"/>
    <x v="72"/>
    <x v="3"/>
    <x v="2"/>
    <x v="3"/>
    <n v="9913"/>
    <x v="1"/>
    <x v="2"/>
    <x v="7"/>
    <n v="1777"/>
    <n v="23101"/>
    <n v="10513.83"/>
    <n v="12587.17"/>
    <x v="0"/>
    <x v="2"/>
    <x v="3"/>
    <x v="493"/>
    <s v="Alta"/>
  </r>
  <r>
    <n v="678"/>
    <x v="139"/>
    <x v="1"/>
    <x v="0"/>
    <x v="0"/>
    <n v="7926"/>
    <x v="0"/>
    <x v="2"/>
    <x v="7"/>
    <n v="1776"/>
    <n v="23088"/>
    <n v="15420.13"/>
    <n v="7667.87"/>
    <x v="0"/>
    <x v="0"/>
    <x v="2"/>
    <x v="494"/>
    <s v="Média"/>
  </r>
  <r>
    <n v="225"/>
    <x v="94"/>
    <x v="3"/>
    <x v="2"/>
    <x v="3"/>
    <n v="1447"/>
    <x v="0"/>
    <x v="0"/>
    <x v="10"/>
    <n v="2294"/>
    <n v="22940"/>
    <n v="14102.08"/>
    <n v="8837.92"/>
    <x v="1"/>
    <x v="2"/>
    <x v="2"/>
    <x v="495"/>
    <s v="Média"/>
  </r>
  <r>
    <n v="709"/>
    <x v="113"/>
    <x v="2"/>
    <x v="4"/>
    <x v="2"/>
    <n v="1329"/>
    <x v="2"/>
    <x v="0"/>
    <x v="11"/>
    <n v="2542"/>
    <n v="22878"/>
    <n v="10104.73"/>
    <n v="12773.27"/>
    <x v="1"/>
    <x v="0"/>
    <x v="4"/>
    <x v="496"/>
    <s v="Alta"/>
  </r>
  <r>
    <n v="625"/>
    <x v="106"/>
    <x v="0"/>
    <x v="4"/>
    <x v="3"/>
    <n v="4386"/>
    <x v="2"/>
    <x v="0"/>
    <x v="14"/>
    <n v="3806"/>
    <n v="22836"/>
    <n v="11212.67"/>
    <n v="11623.33"/>
    <x v="1"/>
    <x v="1"/>
    <x v="0"/>
    <x v="497"/>
    <s v="Alta"/>
  </r>
  <r>
    <n v="99"/>
    <x v="170"/>
    <x v="2"/>
    <x v="4"/>
    <x v="2"/>
    <n v="9444"/>
    <x v="0"/>
    <x v="2"/>
    <x v="15"/>
    <n v="4563"/>
    <n v="22815"/>
    <n v="12109.36"/>
    <n v="10705.64"/>
    <x v="1"/>
    <x v="2"/>
    <x v="0"/>
    <x v="498"/>
    <s v="Alta"/>
  </r>
  <r>
    <n v="732"/>
    <x v="135"/>
    <x v="3"/>
    <x v="4"/>
    <x v="0"/>
    <n v="4915"/>
    <x v="1"/>
    <x v="2"/>
    <x v="3"/>
    <n v="1336"/>
    <n v="22712"/>
    <n v="16425.34"/>
    <n v="6286.66"/>
    <x v="2"/>
    <x v="1"/>
    <x v="1"/>
    <x v="499"/>
    <s v="Média"/>
  </r>
  <r>
    <n v="779"/>
    <x v="43"/>
    <x v="3"/>
    <x v="0"/>
    <x v="1"/>
    <n v="4576"/>
    <x v="1"/>
    <x v="1"/>
    <x v="14"/>
    <n v="3773"/>
    <n v="22638"/>
    <n v="13768.72"/>
    <n v="8869.2800000000007"/>
    <x v="2"/>
    <x v="0"/>
    <x v="4"/>
    <x v="500"/>
    <s v="Média"/>
  </r>
  <r>
    <n v="500"/>
    <x v="10"/>
    <x v="3"/>
    <x v="3"/>
    <x v="1"/>
    <n v="8123"/>
    <x v="1"/>
    <x v="4"/>
    <x v="12"/>
    <n v="2824"/>
    <n v="22592"/>
    <n v="16505.43"/>
    <n v="6086.57"/>
    <x v="0"/>
    <x v="0"/>
    <x v="4"/>
    <x v="501"/>
    <s v="Média"/>
  </r>
  <r>
    <n v="393"/>
    <x v="53"/>
    <x v="1"/>
    <x v="3"/>
    <x v="1"/>
    <n v="3176"/>
    <x v="1"/>
    <x v="4"/>
    <x v="14"/>
    <n v="3751"/>
    <n v="22506"/>
    <n v="15759.24"/>
    <n v="6746.76"/>
    <x v="1"/>
    <x v="1"/>
    <x v="1"/>
    <x v="502"/>
    <s v="Média"/>
  </r>
  <r>
    <n v="688"/>
    <x v="170"/>
    <x v="2"/>
    <x v="4"/>
    <x v="3"/>
    <n v="1686"/>
    <x v="1"/>
    <x v="4"/>
    <x v="11"/>
    <n v="2494"/>
    <n v="22446"/>
    <n v="16944.87"/>
    <n v="5501.13"/>
    <x v="1"/>
    <x v="0"/>
    <x v="3"/>
    <x v="503"/>
    <s v="Média"/>
  </r>
  <r>
    <n v="789"/>
    <x v="8"/>
    <x v="0"/>
    <x v="4"/>
    <x v="0"/>
    <n v="5452"/>
    <x v="0"/>
    <x v="2"/>
    <x v="12"/>
    <n v="2800"/>
    <n v="22400"/>
    <n v="10145.18"/>
    <n v="12254.82"/>
    <x v="2"/>
    <x v="0"/>
    <x v="4"/>
    <x v="504"/>
    <s v="Alta"/>
  </r>
  <r>
    <n v="105"/>
    <x v="140"/>
    <x v="2"/>
    <x v="0"/>
    <x v="0"/>
    <n v="4610"/>
    <x v="1"/>
    <x v="3"/>
    <x v="11"/>
    <n v="2485"/>
    <n v="22365"/>
    <n v="15021.66"/>
    <n v="7343.34"/>
    <x v="1"/>
    <x v="0"/>
    <x v="4"/>
    <x v="505"/>
    <s v="Média"/>
  </r>
  <r>
    <n v="876"/>
    <x v="132"/>
    <x v="1"/>
    <x v="3"/>
    <x v="2"/>
    <n v="4591"/>
    <x v="2"/>
    <x v="3"/>
    <x v="13"/>
    <n v="3154"/>
    <n v="22078"/>
    <n v="13761.28"/>
    <n v="8316.7199999999993"/>
    <x v="0"/>
    <x v="1"/>
    <x v="2"/>
    <x v="506"/>
    <s v="Média"/>
  </r>
  <r>
    <n v="458"/>
    <x v="171"/>
    <x v="3"/>
    <x v="4"/>
    <x v="1"/>
    <n v="4144"/>
    <x v="2"/>
    <x v="0"/>
    <x v="9"/>
    <n v="2007"/>
    <n v="22077"/>
    <n v="16940.16"/>
    <n v="5136.84"/>
    <x v="0"/>
    <x v="1"/>
    <x v="2"/>
    <x v="507"/>
    <s v="Média"/>
  </r>
  <r>
    <n v="801"/>
    <x v="123"/>
    <x v="1"/>
    <x v="1"/>
    <x v="1"/>
    <n v="3135"/>
    <x v="0"/>
    <x v="4"/>
    <x v="14"/>
    <n v="3676"/>
    <n v="22056"/>
    <n v="16222.17"/>
    <n v="5833.83"/>
    <x v="0"/>
    <x v="0"/>
    <x v="0"/>
    <x v="508"/>
    <s v="Média"/>
  </r>
  <r>
    <n v="414"/>
    <x v="172"/>
    <x v="2"/>
    <x v="2"/>
    <x v="1"/>
    <n v="8901"/>
    <x v="0"/>
    <x v="1"/>
    <x v="14"/>
    <n v="3668"/>
    <n v="22008"/>
    <n v="16892.22"/>
    <n v="5115.78"/>
    <x v="1"/>
    <x v="2"/>
    <x v="4"/>
    <x v="509"/>
    <s v="Média"/>
  </r>
  <r>
    <n v="39"/>
    <x v="94"/>
    <x v="2"/>
    <x v="3"/>
    <x v="3"/>
    <n v="3844"/>
    <x v="2"/>
    <x v="1"/>
    <x v="6"/>
    <n v="1564"/>
    <n v="21896"/>
    <n v="9355.68"/>
    <n v="12540.32"/>
    <x v="1"/>
    <x v="2"/>
    <x v="3"/>
    <x v="510"/>
    <s v="Alta"/>
  </r>
  <r>
    <n v="878"/>
    <x v="98"/>
    <x v="1"/>
    <x v="0"/>
    <x v="1"/>
    <n v="5606"/>
    <x v="2"/>
    <x v="4"/>
    <x v="14"/>
    <n v="3645"/>
    <n v="21870"/>
    <n v="15904.07"/>
    <n v="5965.93"/>
    <x v="1"/>
    <x v="2"/>
    <x v="0"/>
    <x v="511"/>
    <s v="Média"/>
  </r>
  <r>
    <n v="999"/>
    <x v="110"/>
    <x v="3"/>
    <x v="2"/>
    <x v="2"/>
    <n v="3403"/>
    <x v="1"/>
    <x v="3"/>
    <x v="10"/>
    <n v="2187"/>
    <n v="21870"/>
    <n v="10605.93"/>
    <n v="11264.07"/>
    <x v="0"/>
    <x v="0"/>
    <x v="1"/>
    <x v="512"/>
    <s v="Alta"/>
  </r>
  <r>
    <n v="727"/>
    <x v="123"/>
    <x v="3"/>
    <x v="3"/>
    <x v="2"/>
    <n v="8241"/>
    <x v="1"/>
    <x v="0"/>
    <x v="14"/>
    <n v="3642"/>
    <n v="21852"/>
    <n v="15125.59"/>
    <n v="6726.41"/>
    <x v="2"/>
    <x v="2"/>
    <x v="1"/>
    <x v="513"/>
    <s v="Média"/>
  </r>
  <r>
    <n v="415"/>
    <x v="73"/>
    <x v="1"/>
    <x v="2"/>
    <x v="1"/>
    <n v="8262"/>
    <x v="1"/>
    <x v="1"/>
    <x v="9"/>
    <n v="1976"/>
    <n v="21736"/>
    <n v="14090.04"/>
    <n v="7645.96"/>
    <x v="1"/>
    <x v="0"/>
    <x v="0"/>
    <x v="514"/>
    <s v="Média"/>
  </r>
  <r>
    <n v="768"/>
    <x v="48"/>
    <x v="1"/>
    <x v="1"/>
    <x v="1"/>
    <n v="2700"/>
    <x v="2"/>
    <x v="1"/>
    <x v="2"/>
    <n v="1207"/>
    <n v="21726"/>
    <n v="14496.97"/>
    <n v="7229.03"/>
    <x v="2"/>
    <x v="1"/>
    <x v="0"/>
    <x v="515"/>
    <s v="Média"/>
  </r>
  <r>
    <n v="62"/>
    <x v="42"/>
    <x v="0"/>
    <x v="1"/>
    <x v="0"/>
    <n v="5849"/>
    <x v="2"/>
    <x v="4"/>
    <x v="14"/>
    <n v="3615"/>
    <n v="21690"/>
    <n v="9412.43"/>
    <n v="12277.57"/>
    <x v="0"/>
    <x v="0"/>
    <x v="4"/>
    <x v="516"/>
    <s v="Alta"/>
  </r>
  <r>
    <n v="664"/>
    <x v="123"/>
    <x v="0"/>
    <x v="3"/>
    <x v="1"/>
    <n v="3475"/>
    <x v="2"/>
    <x v="0"/>
    <x v="3"/>
    <n v="1275"/>
    <n v="21675"/>
    <n v="12114.75"/>
    <n v="9560.25"/>
    <x v="1"/>
    <x v="0"/>
    <x v="0"/>
    <x v="517"/>
    <s v="Alta"/>
  </r>
  <r>
    <n v="193"/>
    <x v="54"/>
    <x v="3"/>
    <x v="4"/>
    <x v="0"/>
    <n v="9542"/>
    <x v="2"/>
    <x v="2"/>
    <x v="0"/>
    <n v="1083"/>
    <n v="21660"/>
    <n v="12253.43"/>
    <n v="9406.57"/>
    <x v="2"/>
    <x v="1"/>
    <x v="1"/>
    <x v="518"/>
    <s v="Alta"/>
  </r>
  <r>
    <n v="144"/>
    <x v="159"/>
    <x v="2"/>
    <x v="2"/>
    <x v="0"/>
    <n v="8039"/>
    <x v="0"/>
    <x v="0"/>
    <x v="13"/>
    <n v="3082"/>
    <n v="21574"/>
    <n v="11399.1"/>
    <n v="10174.9"/>
    <x v="2"/>
    <x v="2"/>
    <x v="1"/>
    <x v="519"/>
    <s v="Alta"/>
  </r>
  <r>
    <n v="283"/>
    <x v="6"/>
    <x v="0"/>
    <x v="3"/>
    <x v="3"/>
    <n v="4642"/>
    <x v="1"/>
    <x v="2"/>
    <x v="7"/>
    <n v="1658"/>
    <n v="21554"/>
    <n v="14571.85"/>
    <n v="6982.15"/>
    <x v="0"/>
    <x v="2"/>
    <x v="4"/>
    <x v="520"/>
    <s v="Média"/>
  </r>
  <r>
    <n v="824"/>
    <x v="65"/>
    <x v="0"/>
    <x v="3"/>
    <x v="3"/>
    <n v="5315"/>
    <x v="0"/>
    <x v="0"/>
    <x v="7"/>
    <n v="1649"/>
    <n v="21437"/>
    <n v="16815.060000000001"/>
    <n v="4621.9399999999996"/>
    <x v="1"/>
    <x v="0"/>
    <x v="3"/>
    <x v="521"/>
    <s v="Média"/>
  </r>
  <r>
    <n v="601"/>
    <x v="110"/>
    <x v="2"/>
    <x v="3"/>
    <x v="2"/>
    <n v="6138"/>
    <x v="2"/>
    <x v="3"/>
    <x v="10"/>
    <n v="2132"/>
    <n v="21320"/>
    <n v="16885.73"/>
    <n v="4434.2700000000004"/>
    <x v="0"/>
    <x v="1"/>
    <x v="2"/>
    <x v="522"/>
    <s v="Média"/>
  </r>
  <r>
    <n v="988"/>
    <x v="150"/>
    <x v="1"/>
    <x v="1"/>
    <x v="3"/>
    <n v="3150"/>
    <x v="0"/>
    <x v="3"/>
    <x v="2"/>
    <n v="1179"/>
    <n v="21222"/>
    <n v="14718.42"/>
    <n v="6503.58"/>
    <x v="1"/>
    <x v="0"/>
    <x v="1"/>
    <x v="523"/>
    <s v="Média"/>
  </r>
  <r>
    <n v="425"/>
    <x v="128"/>
    <x v="3"/>
    <x v="1"/>
    <x v="0"/>
    <n v="9691"/>
    <x v="1"/>
    <x v="2"/>
    <x v="10"/>
    <n v="2106"/>
    <n v="21060"/>
    <n v="9347.01"/>
    <n v="11712.99"/>
    <x v="2"/>
    <x v="2"/>
    <x v="4"/>
    <x v="524"/>
    <s v="Alta"/>
  </r>
  <r>
    <n v="821"/>
    <x v="53"/>
    <x v="1"/>
    <x v="2"/>
    <x v="3"/>
    <n v="2242"/>
    <x v="0"/>
    <x v="1"/>
    <x v="15"/>
    <n v="4208"/>
    <n v="21040"/>
    <n v="14420.13"/>
    <n v="6619.87"/>
    <x v="1"/>
    <x v="2"/>
    <x v="4"/>
    <x v="525"/>
    <s v="Média"/>
  </r>
  <r>
    <n v="932"/>
    <x v="160"/>
    <x v="2"/>
    <x v="4"/>
    <x v="2"/>
    <n v="1209"/>
    <x v="0"/>
    <x v="0"/>
    <x v="11"/>
    <n v="2321"/>
    <n v="20889"/>
    <n v="10002.83"/>
    <n v="10886.17"/>
    <x v="0"/>
    <x v="0"/>
    <x v="0"/>
    <x v="526"/>
    <s v="Alta"/>
  </r>
  <r>
    <n v="682"/>
    <x v="156"/>
    <x v="3"/>
    <x v="2"/>
    <x v="2"/>
    <n v="2684"/>
    <x v="1"/>
    <x v="2"/>
    <x v="11"/>
    <n v="2294"/>
    <n v="20646"/>
    <n v="14302.65"/>
    <n v="6343.35"/>
    <x v="1"/>
    <x v="0"/>
    <x v="2"/>
    <x v="527"/>
    <s v="Média"/>
  </r>
  <r>
    <n v="213"/>
    <x v="96"/>
    <x v="2"/>
    <x v="4"/>
    <x v="2"/>
    <n v="2790"/>
    <x v="1"/>
    <x v="2"/>
    <x v="13"/>
    <n v="2947"/>
    <n v="20629"/>
    <n v="12351.58"/>
    <n v="8277.42"/>
    <x v="1"/>
    <x v="1"/>
    <x v="4"/>
    <x v="528"/>
    <s v="Alta"/>
  </r>
  <r>
    <n v="479"/>
    <x v="130"/>
    <x v="1"/>
    <x v="3"/>
    <x v="2"/>
    <n v="3165"/>
    <x v="0"/>
    <x v="4"/>
    <x v="12"/>
    <n v="2578"/>
    <n v="20624"/>
    <n v="12664.39"/>
    <n v="7959.61"/>
    <x v="2"/>
    <x v="2"/>
    <x v="3"/>
    <x v="529"/>
    <s v="Média"/>
  </r>
  <r>
    <n v="53"/>
    <x v="37"/>
    <x v="0"/>
    <x v="0"/>
    <x v="3"/>
    <n v="4841"/>
    <x v="0"/>
    <x v="2"/>
    <x v="14"/>
    <n v="3436"/>
    <n v="20616"/>
    <n v="16396.11"/>
    <n v="4219.8900000000003"/>
    <x v="0"/>
    <x v="0"/>
    <x v="0"/>
    <x v="530"/>
    <s v="Média"/>
  </r>
  <r>
    <n v="489"/>
    <x v="173"/>
    <x v="0"/>
    <x v="0"/>
    <x v="3"/>
    <n v="7723"/>
    <x v="1"/>
    <x v="1"/>
    <x v="15"/>
    <n v="4110"/>
    <n v="20550"/>
    <n v="13564.49"/>
    <n v="6985.51"/>
    <x v="0"/>
    <x v="2"/>
    <x v="0"/>
    <x v="531"/>
    <s v="Média"/>
  </r>
  <r>
    <n v="822"/>
    <x v="62"/>
    <x v="3"/>
    <x v="2"/>
    <x v="1"/>
    <n v="6232"/>
    <x v="2"/>
    <x v="1"/>
    <x v="14"/>
    <n v="3424"/>
    <n v="20544"/>
    <n v="10051.459999999999"/>
    <n v="10492.54"/>
    <x v="0"/>
    <x v="0"/>
    <x v="3"/>
    <x v="532"/>
    <s v="Alta"/>
  </r>
  <r>
    <n v="490"/>
    <x v="125"/>
    <x v="1"/>
    <x v="1"/>
    <x v="2"/>
    <n v="4182"/>
    <x v="2"/>
    <x v="2"/>
    <x v="10"/>
    <n v="2021"/>
    <n v="20210"/>
    <n v="8458.0300000000007"/>
    <n v="11751.97"/>
    <x v="1"/>
    <x v="1"/>
    <x v="3"/>
    <x v="533"/>
    <s v="Alta"/>
  </r>
  <r>
    <n v="455"/>
    <x v="93"/>
    <x v="0"/>
    <x v="4"/>
    <x v="2"/>
    <n v="3172"/>
    <x v="2"/>
    <x v="1"/>
    <x v="9"/>
    <n v="1836"/>
    <n v="20196"/>
    <n v="14095.65"/>
    <n v="6100.35"/>
    <x v="2"/>
    <x v="0"/>
    <x v="0"/>
    <x v="534"/>
    <s v="Média"/>
  </r>
  <r>
    <n v="782"/>
    <x v="88"/>
    <x v="1"/>
    <x v="4"/>
    <x v="0"/>
    <n v="8203"/>
    <x v="1"/>
    <x v="1"/>
    <x v="13"/>
    <n v="2862"/>
    <n v="20034"/>
    <n v="10011.65"/>
    <n v="10022.35"/>
    <x v="0"/>
    <x v="0"/>
    <x v="0"/>
    <x v="535"/>
    <s v="Alta"/>
  </r>
  <r>
    <n v="254"/>
    <x v="24"/>
    <x v="0"/>
    <x v="2"/>
    <x v="2"/>
    <n v="1557"/>
    <x v="2"/>
    <x v="3"/>
    <x v="16"/>
    <n v="4986"/>
    <n v="19944"/>
    <n v="12511.79"/>
    <n v="7432.21"/>
    <x v="2"/>
    <x v="2"/>
    <x v="2"/>
    <x v="536"/>
    <s v="Média"/>
  </r>
  <r>
    <n v="19"/>
    <x v="5"/>
    <x v="3"/>
    <x v="0"/>
    <x v="2"/>
    <n v="8468"/>
    <x v="1"/>
    <x v="2"/>
    <x v="3"/>
    <n v="1170"/>
    <n v="19890"/>
    <n v="15560.31"/>
    <n v="4329.6899999999996"/>
    <x v="0"/>
    <x v="2"/>
    <x v="0"/>
    <x v="537"/>
    <s v="Média"/>
  </r>
  <r>
    <n v="23"/>
    <x v="52"/>
    <x v="1"/>
    <x v="0"/>
    <x v="1"/>
    <n v="6438"/>
    <x v="2"/>
    <x v="0"/>
    <x v="11"/>
    <n v="2209"/>
    <n v="19881"/>
    <n v="9512.4699999999993"/>
    <n v="10368.530000000001"/>
    <x v="1"/>
    <x v="1"/>
    <x v="2"/>
    <x v="538"/>
    <s v="Alta"/>
  </r>
  <r>
    <n v="252"/>
    <x v="122"/>
    <x v="0"/>
    <x v="0"/>
    <x v="1"/>
    <n v="1666"/>
    <x v="1"/>
    <x v="3"/>
    <x v="14"/>
    <n v="3299"/>
    <n v="19794"/>
    <n v="11376.55"/>
    <n v="8417.4500000000007"/>
    <x v="0"/>
    <x v="1"/>
    <x v="4"/>
    <x v="539"/>
    <s v="Alta"/>
  </r>
  <r>
    <n v="675"/>
    <x v="147"/>
    <x v="1"/>
    <x v="0"/>
    <x v="0"/>
    <n v="4530"/>
    <x v="1"/>
    <x v="1"/>
    <x v="2"/>
    <n v="1098"/>
    <n v="19764"/>
    <n v="10623.27"/>
    <n v="9140.73"/>
    <x v="1"/>
    <x v="1"/>
    <x v="1"/>
    <x v="540"/>
    <s v="Alta"/>
  </r>
  <r>
    <n v="943"/>
    <x v="32"/>
    <x v="1"/>
    <x v="4"/>
    <x v="2"/>
    <n v="5270"/>
    <x v="0"/>
    <x v="4"/>
    <x v="2"/>
    <n v="1097"/>
    <n v="19746"/>
    <n v="7929.8"/>
    <n v="11816.2"/>
    <x v="1"/>
    <x v="1"/>
    <x v="1"/>
    <x v="541"/>
    <s v="Alta"/>
  </r>
  <r>
    <n v="653"/>
    <x v="65"/>
    <x v="2"/>
    <x v="0"/>
    <x v="0"/>
    <n v="4920"/>
    <x v="1"/>
    <x v="2"/>
    <x v="0"/>
    <n v="984"/>
    <n v="19680"/>
    <n v="14739.98"/>
    <n v="4940.0200000000004"/>
    <x v="1"/>
    <x v="0"/>
    <x v="2"/>
    <x v="542"/>
    <s v="Média"/>
  </r>
  <r>
    <n v="185"/>
    <x v="117"/>
    <x v="3"/>
    <x v="4"/>
    <x v="0"/>
    <n v="5710"/>
    <x v="0"/>
    <x v="2"/>
    <x v="16"/>
    <n v="4885"/>
    <n v="19540"/>
    <n v="8386.16"/>
    <n v="11153.84"/>
    <x v="0"/>
    <x v="2"/>
    <x v="4"/>
    <x v="543"/>
    <s v="Alta"/>
  </r>
  <r>
    <n v="437"/>
    <x v="10"/>
    <x v="2"/>
    <x v="1"/>
    <x v="1"/>
    <n v="8300"/>
    <x v="1"/>
    <x v="3"/>
    <x v="10"/>
    <n v="1951"/>
    <n v="19510"/>
    <n v="10177.39"/>
    <n v="9332.61"/>
    <x v="2"/>
    <x v="0"/>
    <x v="0"/>
    <x v="544"/>
    <s v="Alta"/>
  </r>
  <r>
    <n v="31"/>
    <x v="136"/>
    <x v="3"/>
    <x v="3"/>
    <x v="3"/>
    <n v="4874"/>
    <x v="2"/>
    <x v="0"/>
    <x v="16"/>
    <n v="4873"/>
    <n v="19492"/>
    <n v="7856.13"/>
    <n v="11635.87"/>
    <x v="0"/>
    <x v="2"/>
    <x v="0"/>
    <x v="545"/>
    <s v="Alta"/>
  </r>
  <r>
    <n v="733"/>
    <x v="24"/>
    <x v="0"/>
    <x v="4"/>
    <x v="3"/>
    <n v="3118"/>
    <x v="2"/>
    <x v="0"/>
    <x v="7"/>
    <n v="1497"/>
    <n v="19461"/>
    <n v="12210.21"/>
    <n v="7250.79"/>
    <x v="1"/>
    <x v="1"/>
    <x v="0"/>
    <x v="546"/>
    <s v="Média"/>
  </r>
  <r>
    <n v="740"/>
    <x v="9"/>
    <x v="0"/>
    <x v="0"/>
    <x v="2"/>
    <n v="7961"/>
    <x v="2"/>
    <x v="1"/>
    <x v="10"/>
    <n v="1928"/>
    <n v="19280"/>
    <n v="10661.78"/>
    <n v="8618.2199999999993"/>
    <x v="0"/>
    <x v="1"/>
    <x v="0"/>
    <x v="547"/>
    <s v="Alta"/>
  </r>
  <r>
    <n v="27"/>
    <x v="58"/>
    <x v="3"/>
    <x v="4"/>
    <x v="3"/>
    <n v="9097"/>
    <x v="2"/>
    <x v="4"/>
    <x v="14"/>
    <n v="3209"/>
    <n v="19254"/>
    <n v="12838.65"/>
    <n v="6415.35"/>
    <x v="2"/>
    <x v="0"/>
    <x v="4"/>
    <x v="548"/>
    <s v="Média"/>
  </r>
  <r>
    <n v="803"/>
    <x v="9"/>
    <x v="3"/>
    <x v="0"/>
    <x v="1"/>
    <n v="7706"/>
    <x v="2"/>
    <x v="2"/>
    <x v="9"/>
    <n v="1748"/>
    <n v="19228"/>
    <n v="11236.28"/>
    <n v="7991.72"/>
    <x v="0"/>
    <x v="1"/>
    <x v="3"/>
    <x v="549"/>
    <s v="Alta"/>
  </r>
  <r>
    <n v="367"/>
    <x v="84"/>
    <x v="3"/>
    <x v="0"/>
    <x v="2"/>
    <n v="5154"/>
    <x v="0"/>
    <x v="3"/>
    <x v="7"/>
    <n v="1476"/>
    <n v="19188"/>
    <n v="9667.68"/>
    <n v="9520.32"/>
    <x v="2"/>
    <x v="1"/>
    <x v="2"/>
    <x v="550"/>
    <s v="Alta"/>
  </r>
  <r>
    <n v="783"/>
    <x v="122"/>
    <x v="3"/>
    <x v="3"/>
    <x v="1"/>
    <n v="1144"/>
    <x v="2"/>
    <x v="2"/>
    <x v="10"/>
    <n v="1902"/>
    <n v="19020"/>
    <n v="8343.2099999999991"/>
    <n v="10676.79"/>
    <x v="1"/>
    <x v="2"/>
    <x v="3"/>
    <x v="551"/>
    <s v="Alta"/>
  </r>
  <r>
    <n v="277"/>
    <x v="164"/>
    <x v="0"/>
    <x v="0"/>
    <x v="2"/>
    <n v="6358"/>
    <x v="2"/>
    <x v="1"/>
    <x v="12"/>
    <n v="2356"/>
    <n v="18848"/>
    <n v="9441.42"/>
    <n v="9406.58"/>
    <x v="2"/>
    <x v="2"/>
    <x v="4"/>
    <x v="552"/>
    <s v="Alta"/>
  </r>
  <r>
    <n v="717"/>
    <x v="111"/>
    <x v="2"/>
    <x v="0"/>
    <x v="2"/>
    <n v="1969"/>
    <x v="2"/>
    <x v="2"/>
    <x v="0"/>
    <n v="940"/>
    <n v="18800"/>
    <n v="11653.1"/>
    <n v="7146.9"/>
    <x v="1"/>
    <x v="2"/>
    <x v="3"/>
    <x v="553"/>
    <s v="Média"/>
  </r>
  <r>
    <n v="817"/>
    <x v="160"/>
    <x v="0"/>
    <x v="4"/>
    <x v="3"/>
    <n v="3483"/>
    <x v="1"/>
    <x v="3"/>
    <x v="6"/>
    <n v="1336"/>
    <n v="18704"/>
    <n v="8550.89"/>
    <n v="10153.11"/>
    <x v="2"/>
    <x v="0"/>
    <x v="1"/>
    <x v="554"/>
    <s v="Alta"/>
  </r>
  <r>
    <n v="424"/>
    <x v="168"/>
    <x v="2"/>
    <x v="2"/>
    <x v="1"/>
    <n v="2724"/>
    <x v="2"/>
    <x v="1"/>
    <x v="10"/>
    <n v="1866"/>
    <n v="18660"/>
    <n v="11809.14"/>
    <n v="6850.86"/>
    <x v="0"/>
    <x v="2"/>
    <x v="2"/>
    <x v="555"/>
    <s v="Média"/>
  </r>
  <r>
    <n v="176"/>
    <x v="26"/>
    <x v="3"/>
    <x v="4"/>
    <x v="1"/>
    <n v="3123"/>
    <x v="1"/>
    <x v="2"/>
    <x v="13"/>
    <n v="2660"/>
    <n v="18620"/>
    <n v="7841.78"/>
    <n v="10778.22"/>
    <x v="2"/>
    <x v="1"/>
    <x v="4"/>
    <x v="556"/>
    <s v="Alta"/>
  </r>
  <r>
    <n v="857"/>
    <x v="135"/>
    <x v="2"/>
    <x v="2"/>
    <x v="0"/>
    <n v="8379"/>
    <x v="1"/>
    <x v="2"/>
    <x v="2"/>
    <n v="1032"/>
    <n v="18576"/>
    <n v="7983.42"/>
    <n v="10592.58"/>
    <x v="1"/>
    <x v="0"/>
    <x v="4"/>
    <x v="557"/>
    <s v="Alta"/>
  </r>
  <r>
    <n v="654"/>
    <x v="128"/>
    <x v="3"/>
    <x v="4"/>
    <x v="0"/>
    <n v="6889"/>
    <x v="1"/>
    <x v="2"/>
    <x v="3"/>
    <n v="1088"/>
    <n v="18496"/>
    <n v="13152.89"/>
    <n v="5343.11"/>
    <x v="0"/>
    <x v="2"/>
    <x v="0"/>
    <x v="558"/>
    <s v="Média"/>
  </r>
  <r>
    <n v="650"/>
    <x v="105"/>
    <x v="1"/>
    <x v="0"/>
    <x v="0"/>
    <n v="9948"/>
    <x v="0"/>
    <x v="3"/>
    <x v="11"/>
    <n v="2051"/>
    <n v="18459"/>
    <n v="13466.69"/>
    <n v="4992.3100000000004"/>
    <x v="2"/>
    <x v="0"/>
    <x v="1"/>
    <x v="559"/>
    <s v="Média"/>
  </r>
  <r>
    <n v="624"/>
    <x v="135"/>
    <x v="2"/>
    <x v="0"/>
    <x v="3"/>
    <n v="5221"/>
    <x v="2"/>
    <x v="2"/>
    <x v="16"/>
    <n v="4612"/>
    <n v="18448"/>
    <n v="10419.17"/>
    <n v="8028.83"/>
    <x v="2"/>
    <x v="1"/>
    <x v="3"/>
    <x v="560"/>
    <s v="Alta"/>
  </r>
  <r>
    <n v="888"/>
    <x v="35"/>
    <x v="1"/>
    <x v="4"/>
    <x v="1"/>
    <n v="2027"/>
    <x v="0"/>
    <x v="0"/>
    <x v="15"/>
    <n v="3675"/>
    <n v="18375"/>
    <n v="12920.33"/>
    <n v="5454.67"/>
    <x v="1"/>
    <x v="0"/>
    <x v="4"/>
    <x v="561"/>
    <s v="Média"/>
  </r>
  <r>
    <n v="761"/>
    <x v="65"/>
    <x v="2"/>
    <x v="1"/>
    <x v="0"/>
    <n v="1571"/>
    <x v="0"/>
    <x v="2"/>
    <x v="10"/>
    <n v="1837"/>
    <n v="18370"/>
    <n v="12921.88"/>
    <n v="5448.12"/>
    <x v="1"/>
    <x v="0"/>
    <x v="2"/>
    <x v="562"/>
    <s v="Média"/>
  </r>
  <r>
    <n v="400"/>
    <x v="61"/>
    <x v="0"/>
    <x v="1"/>
    <x v="0"/>
    <n v="6277"/>
    <x v="0"/>
    <x v="4"/>
    <x v="10"/>
    <n v="1834"/>
    <n v="18340"/>
    <n v="10817.1"/>
    <n v="7522.9"/>
    <x v="2"/>
    <x v="0"/>
    <x v="0"/>
    <x v="563"/>
    <s v="Alta"/>
  </r>
  <r>
    <n v="577"/>
    <x v="56"/>
    <x v="0"/>
    <x v="0"/>
    <x v="3"/>
    <n v="6323"/>
    <x v="0"/>
    <x v="1"/>
    <x v="15"/>
    <n v="3654"/>
    <n v="18270"/>
    <n v="12435.37"/>
    <n v="5834.63"/>
    <x v="0"/>
    <x v="2"/>
    <x v="2"/>
    <x v="564"/>
    <s v="Média"/>
  </r>
  <r>
    <n v="939"/>
    <x v="118"/>
    <x v="3"/>
    <x v="2"/>
    <x v="0"/>
    <n v="3597"/>
    <x v="1"/>
    <x v="3"/>
    <x v="8"/>
    <n v="1517"/>
    <n v="18204"/>
    <n v="8435.8799999999992"/>
    <n v="9768.1200000000008"/>
    <x v="0"/>
    <x v="2"/>
    <x v="4"/>
    <x v="565"/>
    <s v="Alta"/>
  </r>
  <r>
    <n v="146"/>
    <x v="95"/>
    <x v="3"/>
    <x v="0"/>
    <x v="1"/>
    <n v="1371"/>
    <x v="2"/>
    <x v="1"/>
    <x v="13"/>
    <n v="2572"/>
    <n v="18004"/>
    <n v="10657.1"/>
    <n v="7346.9"/>
    <x v="0"/>
    <x v="2"/>
    <x v="0"/>
    <x v="566"/>
    <s v="Alta"/>
  </r>
  <r>
    <n v="324"/>
    <x v="54"/>
    <x v="2"/>
    <x v="0"/>
    <x v="2"/>
    <n v="8494"/>
    <x v="0"/>
    <x v="1"/>
    <x v="4"/>
    <n v="1124"/>
    <n v="17984"/>
    <n v="13339.21"/>
    <n v="4644.79"/>
    <x v="0"/>
    <x v="2"/>
    <x v="3"/>
    <x v="567"/>
    <s v="Média"/>
  </r>
  <r>
    <n v="892"/>
    <x v="173"/>
    <x v="2"/>
    <x v="0"/>
    <x v="0"/>
    <n v="1259"/>
    <x v="2"/>
    <x v="0"/>
    <x v="12"/>
    <n v="2248"/>
    <n v="17984"/>
    <n v="9532.39"/>
    <n v="8451.61"/>
    <x v="0"/>
    <x v="2"/>
    <x v="3"/>
    <x v="568"/>
    <s v="Alta"/>
  </r>
  <r>
    <n v="320"/>
    <x v="24"/>
    <x v="2"/>
    <x v="1"/>
    <x v="1"/>
    <n v="7094"/>
    <x v="0"/>
    <x v="4"/>
    <x v="12"/>
    <n v="2247"/>
    <n v="17976"/>
    <n v="13630.46"/>
    <n v="4345.54"/>
    <x v="0"/>
    <x v="2"/>
    <x v="4"/>
    <x v="569"/>
    <s v="Média"/>
  </r>
  <r>
    <n v="738"/>
    <x v="77"/>
    <x v="1"/>
    <x v="1"/>
    <x v="1"/>
    <n v="5482"/>
    <x v="1"/>
    <x v="1"/>
    <x v="9"/>
    <n v="1630"/>
    <n v="17930"/>
    <n v="7216.18"/>
    <n v="10713.82"/>
    <x v="1"/>
    <x v="2"/>
    <x v="2"/>
    <x v="570"/>
    <s v="Alta"/>
  </r>
  <r>
    <n v="220"/>
    <x v="30"/>
    <x v="3"/>
    <x v="1"/>
    <x v="2"/>
    <n v="5497"/>
    <x v="1"/>
    <x v="3"/>
    <x v="15"/>
    <n v="3565"/>
    <n v="17825"/>
    <n v="11538.31"/>
    <n v="6286.69"/>
    <x v="0"/>
    <x v="2"/>
    <x v="2"/>
    <x v="571"/>
    <s v="Média"/>
  </r>
  <r>
    <n v="35"/>
    <x v="40"/>
    <x v="0"/>
    <x v="2"/>
    <x v="1"/>
    <n v="8995"/>
    <x v="2"/>
    <x v="3"/>
    <x v="16"/>
    <n v="4420"/>
    <n v="17680"/>
    <n v="9585.3799999999992"/>
    <n v="8094.62"/>
    <x v="0"/>
    <x v="1"/>
    <x v="2"/>
    <x v="572"/>
    <s v="Alta"/>
  </r>
  <r>
    <n v="42"/>
    <x v="62"/>
    <x v="1"/>
    <x v="0"/>
    <x v="2"/>
    <n v="8529"/>
    <x v="0"/>
    <x v="0"/>
    <x v="5"/>
    <n v="1177"/>
    <n v="17655"/>
    <n v="10104.27"/>
    <n v="7550.73"/>
    <x v="2"/>
    <x v="0"/>
    <x v="1"/>
    <x v="573"/>
    <s v="Alta"/>
  </r>
  <r>
    <n v="38"/>
    <x v="15"/>
    <x v="0"/>
    <x v="2"/>
    <x v="0"/>
    <n v="1080"/>
    <x v="0"/>
    <x v="4"/>
    <x v="7"/>
    <n v="1356"/>
    <n v="17628"/>
    <n v="10520.75"/>
    <n v="7107.25"/>
    <x v="2"/>
    <x v="0"/>
    <x v="4"/>
    <x v="574"/>
    <s v="Alta"/>
  </r>
  <r>
    <n v="561"/>
    <x v="114"/>
    <x v="2"/>
    <x v="4"/>
    <x v="1"/>
    <n v="5791"/>
    <x v="0"/>
    <x v="1"/>
    <x v="8"/>
    <n v="1464"/>
    <n v="17568"/>
    <n v="8603.39"/>
    <n v="8964.61"/>
    <x v="1"/>
    <x v="1"/>
    <x v="3"/>
    <x v="575"/>
    <s v="Alta"/>
  </r>
  <r>
    <n v="773"/>
    <x v="46"/>
    <x v="0"/>
    <x v="4"/>
    <x v="3"/>
    <n v="9549"/>
    <x v="0"/>
    <x v="4"/>
    <x v="13"/>
    <n v="2499"/>
    <n v="17493"/>
    <n v="13442.5"/>
    <n v="4050.5"/>
    <x v="0"/>
    <x v="0"/>
    <x v="3"/>
    <x v="576"/>
    <s v="Média"/>
  </r>
  <r>
    <n v="356"/>
    <x v="97"/>
    <x v="1"/>
    <x v="2"/>
    <x v="2"/>
    <n v="4488"/>
    <x v="0"/>
    <x v="3"/>
    <x v="13"/>
    <n v="2497"/>
    <n v="17479"/>
    <n v="10557.13"/>
    <n v="6921.87"/>
    <x v="0"/>
    <x v="2"/>
    <x v="3"/>
    <x v="577"/>
    <s v="Média"/>
  </r>
  <r>
    <n v="967"/>
    <x v="0"/>
    <x v="3"/>
    <x v="0"/>
    <x v="3"/>
    <n v="9200"/>
    <x v="1"/>
    <x v="0"/>
    <x v="16"/>
    <n v="4365"/>
    <n v="17460"/>
    <n v="8433.41"/>
    <n v="9026.59"/>
    <x v="2"/>
    <x v="1"/>
    <x v="3"/>
    <x v="578"/>
    <s v="Alta"/>
  </r>
  <r>
    <n v="763"/>
    <x v="147"/>
    <x v="3"/>
    <x v="1"/>
    <x v="0"/>
    <n v="3024"/>
    <x v="0"/>
    <x v="4"/>
    <x v="14"/>
    <n v="2906"/>
    <n v="17436"/>
    <n v="11383.82"/>
    <n v="6052.18"/>
    <x v="2"/>
    <x v="1"/>
    <x v="3"/>
    <x v="579"/>
    <s v="Média"/>
  </r>
  <r>
    <n v="626"/>
    <x v="73"/>
    <x v="2"/>
    <x v="0"/>
    <x v="0"/>
    <n v="4780"/>
    <x v="0"/>
    <x v="2"/>
    <x v="6"/>
    <n v="1231"/>
    <n v="17234"/>
    <n v="7850.92"/>
    <n v="9383.08"/>
    <x v="1"/>
    <x v="1"/>
    <x v="2"/>
    <x v="580"/>
    <s v="Alta"/>
  </r>
  <r>
    <n v="411"/>
    <x v="126"/>
    <x v="1"/>
    <x v="1"/>
    <x v="1"/>
    <n v="6539"/>
    <x v="0"/>
    <x v="0"/>
    <x v="6"/>
    <n v="1229"/>
    <n v="17206"/>
    <n v="13536.67"/>
    <n v="3669.33"/>
    <x v="1"/>
    <x v="0"/>
    <x v="4"/>
    <x v="581"/>
    <s v="Média"/>
  </r>
  <r>
    <n v="513"/>
    <x v="30"/>
    <x v="2"/>
    <x v="4"/>
    <x v="2"/>
    <n v="7461"/>
    <x v="1"/>
    <x v="4"/>
    <x v="5"/>
    <n v="1146"/>
    <n v="17190"/>
    <n v="9670.65"/>
    <n v="7519.35"/>
    <x v="0"/>
    <x v="1"/>
    <x v="0"/>
    <x v="582"/>
    <s v="Alta"/>
  </r>
  <r>
    <n v="887"/>
    <x v="148"/>
    <x v="2"/>
    <x v="1"/>
    <x v="1"/>
    <n v="8252"/>
    <x v="0"/>
    <x v="1"/>
    <x v="14"/>
    <n v="2865"/>
    <n v="17190"/>
    <n v="7460.82"/>
    <n v="9729.18"/>
    <x v="1"/>
    <x v="0"/>
    <x v="3"/>
    <x v="583"/>
    <s v="Alta"/>
  </r>
  <r>
    <n v="104"/>
    <x v="174"/>
    <x v="1"/>
    <x v="2"/>
    <x v="2"/>
    <n v="6939"/>
    <x v="2"/>
    <x v="2"/>
    <x v="11"/>
    <n v="1897"/>
    <n v="17073"/>
    <n v="12246.25"/>
    <n v="4826.75"/>
    <x v="0"/>
    <x v="1"/>
    <x v="3"/>
    <x v="584"/>
    <s v="Média"/>
  </r>
  <r>
    <n v="809"/>
    <x v="16"/>
    <x v="3"/>
    <x v="1"/>
    <x v="1"/>
    <n v="5579"/>
    <x v="0"/>
    <x v="3"/>
    <x v="14"/>
    <n v="2835"/>
    <n v="17010"/>
    <n v="12436.17"/>
    <n v="4573.83"/>
    <x v="1"/>
    <x v="0"/>
    <x v="4"/>
    <x v="585"/>
    <s v="Média"/>
  </r>
  <r>
    <n v="655"/>
    <x v="162"/>
    <x v="2"/>
    <x v="1"/>
    <x v="0"/>
    <n v="8546"/>
    <x v="2"/>
    <x v="3"/>
    <x v="9"/>
    <n v="1544"/>
    <n v="16984"/>
    <n v="11844.98"/>
    <n v="5139.0200000000004"/>
    <x v="1"/>
    <x v="1"/>
    <x v="3"/>
    <x v="586"/>
    <s v="Média"/>
  </r>
  <r>
    <n v="338"/>
    <x v="148"/>
    <x v="0"/>
    <x v="1"/>
    <x v="0"/>
    <n v="1085"/>
    <x v="1"/>
    <x v="2"/>
    <x v="1"/>
    <n v="890"/>
    <n v="16910"/>
    <n v="7954.91"/>
    <n v="8955.09"/>
    <x v="2"/>
    <x v="0"/>
    <x v="4"/>
    <x v="587"/>
    <s v="Alta"/>
  </r>
  <r>
    <n v="112"/>
    <x v="100"/>
    <x v="1"/>
    <x v="4"/>
    <x v="0"/>
    <n v="1843"/>
    <x v="1"/>
    <x v="4"/>
    <x v="3"/>
    <n v="994"/>
    <n v="16898"/>
    <n v="8139.96"/>
    <n v="8758.0400000000009"/>
    <x v="0"/>
    <x v="0"/>
    <x v="4"/>
    <x v="588"/>
    <s v="Alta"/>
  </r>
  <r>
    <n v="478"/>
    <x v="89"/>
    <x v="3"/>
    <x v="1"/>
    <x v="2"/>
    <n v="2446"/>
    <x v="1"/>
    <x v="2"/>
    <x v="5"/>
    <n v="1126"/>
    <n v="16890"/>
    <n v="9303.58"/>
    <n v="7586.42"/>
    <x v="2"/>
    <x v="1"/>
    <x v="2"/>
    <x v="589"/>
    <s v="Alta"/>
  </r>
  <r>
    <n v="3"/>
    <x v="159"/>
    <x v="0"/>
    <x v="3"/>
    <x v="1"/>
    <n v="7394"/>
    <x v="0"/>
    <x v="3"/>
    <x v="16"/>
    <n v="4216"/>
    <n v="16864"/>
    <n v="10283.61"/>
    <n v="6580.39"/>
    <x v="2"/>
    <x v="0"/>
    <x v="4"/>
    <x v="590"/>
    <s v="Média"/>
  </r>
  <r>
    <n v="532"/>
    <x v="80"/>
    <x v="2"/>
    <x v="4"/>
    <x v="3"/>
    <n v="5060"/>
    <x v="1"/>
    <x v="0"/>
    <x v="16"/>
    <n v="4200"/>
    <n v="16800"/>
    <n v="7205.63"/>
    <n v="9594.3700000000008"/>
    <x v="2"/>
    <x v="0"/>
    <x v="0"/>
    <x v="591"/>
    <s v="Alta"/>
  </r>
  <r>
    <n v="207"/>
    <x v="109"/>
    <x v="1"/>
    <x v="3"/>
    <x v="2"/>
    <n v="4953"/>
    <x v="0"/>
    <x v="4"/>
    <x v="12"/>
    <n v="2062"/>
    <n v="16496"/>
    <n v="12736.99"/>
    <n v="3759.01"/>
    <x v="2"/>
    <x v="0"/>
    <x v="0"/>
    <x v="592"/>
    <s v="Média"/>
  </r>
  <r>
    <n v="179"/>
    <x v="152"/>
    <x v="1"/>
    <x v="2"/>
    <x v="0"/>
    <n v="6100"/>
    <x v="2"/>
    <x v="1"/>
    <x v="16"/>
    <n v="4079"/>
    <n v="16316"/>
    <n v="11483.76"/>
    <n v="4832.24"/>
    <x v="1"/>
    <x v="1"/>
    <x v="1"/>
    <x v="593"/>
    <s v="Média"/>
  </r>
  <r>
    <n v="837"/>
    <x v="93"/>
    <x v="1"/>
    <x v="1"/>
    <x v="1"/>
    <n v="8146"/>
    <x v="2"/>
    <x v="3"/>
    <x v="1"/>
    <n v="856"/>
    <n v="16264"/>
    <n v="8559.57"/>
    <n v="7704.43"/>
    <x v="2"/>
    <x v="0"/>
    <x v="2"/>
    <x v="594"/>
    <s v="Alta"/>
  </r>
  <r>
    <n v="233"/>
    <x v="33"/>
    <x v="0"/>
    <x v="2"/>
    <x v="1"/>
    <n v="3955"/>
    <x v="0"/>
    <x v="4"/>
    <x v="14"/>
    <n v="2709"/>
    <n v="16254"/>
    <n v="9576.19"/>
    <n v="6677.81"/>
    <x v="1"/>
    <x v="2"/>
    <x v="4"/>
    <x v="595"/>
    <s v="Alta"/>
  </r>
  <r>
    <n v="909"/>
    <x v="134"/>
    <x v="1"/>
    <x v="1"/>
    <x v="3"/>
    <n v="9183"/>
    <x v="1"/>
    <x v="3"/>
    <x v="12"/>
    <n v="2025"/>
    <n v="16200"/>
    <n v="11124.2"/>
    <n v="5075.8"/>
    <x v="0"/>
    <x v="0"/>
    <x v="4"/>
    <x v="596"/>
    <s v="Média"/>
  </r>
  <r>
    <n v="375"/>
    <x v="63"/>
    <x v="1"/>
    <x v="0"/>
    <x v="1"/>
    <n v="8696"/>
    <x v="1"/>
    <x v="2"/>
    <x v="13"/>
    <n v="2310"/>
    <n v="16170"/>
    <n v="7434.17"/>
    <n v="8735.83"/>
    <x v="0"/>
    <x v="0"/>
    <x v="2"/>
    <x v="597"/>
    <s v="Alta"/>
  </r>
  <r>
    <n v="557"/>
    <x v="127"/>
    <x v="0"/>
    <x v="2"/>
    <x v="0"/>
    <n v="8609"/>
    <x v="1"/>
    <x v="2"/>
    <x v="10"/>
    <n v="1616"/>
    <n v="16160"/>
    <n v="12688.84"/>
    <n v="3471.16"/>
    <x v="2"/>
    <x v="1"/>
    <x v="0"/>
    <x v="598"/>
    <s v="Média"/>
  </r>
  <r>
    <n v="861"/>
    <x v="163"/>
    <x v="0"/>
    <x v="1"/>
    <x v="2"/>
    <n v="2695"/>
    <x v="0"/>
    <x v="2"/>
    <x v="11"/>
    <n v="1790"/>
    <n v="16110"/>
    <n v="9962.2000000000007"/>
    <n v="6147.8"/>
    <x v="0"/>
    <x v="0"/>
    <x v="4"/>
    <x v="599"/>
    <s v="Média"/>
  </r>
  <r>
    <n v="750"/>
    <x v="146"/>
    <x v="3"/>
    <x v="2"/>
    <x v="3"/>
    <n v="2441"/>
    <x v="1"/>
    <x v="2"/>
    <x v="7"/>
    <n v="1233"/>
    <n v="16029"/>
    <n v="12175.55"/>
    <n v="3853.45"/>
    <x v="0"/>
    <x v="0"/>
    <x v="2"/>
    <x v="600"/>
    <s v="Média"/>
  </r>
  <r>
    <n v="689"/>
    <x v="93"/>
    <x v="1"/>
    <x v="2"/>
    <x v="2"/>
    <n v="3581"/>
    <x v="0"/>
    <x v="2"/>
    <x v="5"/>
    <n v="1067"/>
    <n v="16005"/>
    <n v="7953.21"/>
    <n v="8051.79"/>
    <x v="0"/>
    <x v="2"/>
    <x v="2"/>
    <x v="601"/>
    <s v="Alta"/>
  </r>
  <r>
    <n v="677"/>
    <x v="69"/>
    <x v="2"/>
    <x v="3"/>
    <x v="2"/>
    <n v="2932"/>
    <x v="2"/>
    <x v="3"/>
    <x v="6"/>
    <n v="1131"/>
    <n v="15834"/>
    <n v="11502.64"/>
    <n v="4331.3599999999997"/>
    <x v="1"/>
    <x v="1"/>
    <x v="1"/>
    <x v="602"/>
    <s v="Média"/>
  </r>
  <r>
    <n v="874"/>
    <x v="56"/>
    <x v="1"/>
    <x v="4"/>
    <x v="1"/>
    <n v="5775"/>
    <x v="0"/>
    <x v="0"/>
    <x v="6"/>
    <n v="1128"/>
    <n v="15792"/>
    <n v="11534.38"/>
    <n v="4257.62"/>
    <x v="0"/>
    <x v="1"/>
    <x v="0"/>
    <x v="603"/>
    <s v="Média"/>
  </r>
  <r>
    <n v="810"/>
    <x v="175"/>
    <x v="2"/>
    <x v="0"/>
    <x v="2"/>
    <n v="6007"/>
    <x v="1"/>
    <x v="3"/>
    <x v="8"/>
    <n v="1307"/>
    <n v="15684"/>
    <n v="10287.67"/>
    <n v="5396.33"/>
    <x v="2"/>
    <x v="0"/>
    <x v="4"/>
    <x v="604"/>
    <s v="Média"/>
  </r>
  <r>
    <n v="950"/>
    <x v="64"/>
    <x v="2"/>
    <x v="0"/>
    <x v="0"/>
    <n v="1366"/>
    <x v="2"/>
    <x v="4"/>
    <x v="8"/>
    <n v="1305"/>
    <n v="15660"/>
    <n v="8573.83"/>
    <n v="7086.17"/>
    <x v="0"/>
    <x v="2"/>
    <x v="2"/>
    <x v="605"/>
    <s v="Alta"/>
  </r>
  <r>
    <n v="781"/>
    <x v="104"/>
    <x v="2"/>
    <x v="0"/>
    <x v="0"/>
    <n v="1647"/>
    <x v="0"/>
    <x v="4"/>
    <x v="8"/>
    <n v="1303"/>
    <n v="15636"/>
    <n v="9711.9"/>
    <n v="5924.1"/>
    <x v="1"/>
    <x v="1"/>
    <x v="3"/>
    <x v="606"/>
    <s v="Média"/>
  </r>
  <r>
    <n v="101"/>
    <x v="34"/>
    <x v="3"/>
    <x v="0"/>
    <x v="1"/>
    <n v="9815"/>
    <x v="0"/>
    <x v="1"/>
    <x v="12"/>
    <n v="1954"/>
    <n v="15632"/>
    <n v="9373.2099999999991"/>
    <n v="6258.79"/>
    <x v="2"/>
    <x v="1"/>
    <x v="2"/>
    <x v="607"/>
    <s v="Alta"/>
  </r>
  <r>
    <n v="636"/>
    <x v="22"/>
    <x v="1"/>
    <x v="2"/>
    <x v="3"/>
    <n v="6893"/>
    <x v="0"/>
    <x v="4"/>
    <x v="16"/>
    <n v="3897"/>
    <n v="15588"/>
    <n v="8821.93"/>
    <n v="6766.07"/>
    <x v="0"/>
    <x v="0"/>
    <x v="0"/>
    <x v="608"/>
    <s v="Alta"/>
  </r>
  <r>
    <n v="833"/>
    <x v="125"/>
    <x v="0"/>
    <x v="2"/>
    <x v="3"/>
    <n v="6788"/>
    <x v="1"/>
    <x v="0"/>
    <x v="11"/>
    <n v="1715"/>
    <n v="15435"/>
    <n v="10471.91"/>
    <n v="4963.09"/>
    <x v="1"/>
    <x v="1"/>
    <x v="0"/>
    <x v="609"/>
    <s v="Média"/>
  </r>
  <r>
    <n v="63"/>
    <x v="155"/>
    <x v="2"/>
    <x v="0"/>
    <x v="2"/>
    <n v="1392"/>
    <x v="2"/>
    <x v="1"/>
    <x v="7"/>
    <n v="1187"/>
    <n v="15431"/>
    <n v="8829.34"/>
    <n v="6601.66"/>
    <x v="0"/>
    <x v="0"/>
    <x v="0"/>
    <x v="610"/>
    <s v="Alta"/>
  </r>
  <r>
    <n v="232"/>
    <x v="137"/>
    <x v="1"/>
    <x v="2"/>
    <x v="3"/>
    <n v="6538"/>
    <x v="2"/>
    <x v="4"/>
    <x v="12"/>
    <n v="1927"/>
    <n v="15416"/>
    <n v="10057.89"/>
    <n v="5358.11"/>
    <x v="0"/>
    <x v="1"/>
    <x v="1"/>
    <x v="611"/>
    <s v="Média"/>
  </r>
  <r>
    <n v="450"/>
    <x v="106"/>
    <x v="1"/>
    <x v="1"/>
    <x v="3"/>
    <n v="6430"/>
    <x v="1"/>
    <x v="1"/>
    <x v="7"/>
    <n v="1184"/>
    <n v="15392"/>
    <n v="11188.61"/>
    <n v="4203.3900000000003"/>
    <x v="0"/>
    <x v="0"/>
    <x v="1"/>
    <x v="612"/>
    <s v="Média"/>
  </r>
  <r>
    <n v="989"/>
    <x v="83"/>
    <x v="2"/>
    <x v="2"/>
    <x v="3"/>
    <n v="4809"/>
    <x v="0"/>
    <x v="0"/>
    <x v="13"/>
    <n v="2188"/>
    <n v="15316"/>
    <n v="11990.7"/>
    <n v="3325.3"/>
    <x v="0"/>
    <x v="1"/>
    <x v="4"/>
    <x v="613"/>
    <s v="Média"/>
  </r>
  <r>
    <n v="142"/>
    <x v="9"/>
    <x v="2"/>
    <x v="1"/>
    <x v="3"/>
    <n v="7640"/>
    <x v="1"/>
    <x v="1"/>
    <x v="3"/>
    <n v="899"/>
    <n v="15283"/>
    <n v="11240.99"/>
    <n v="4042.01"/>
    <x v="1"/>
    <x v="1"/>
    <x v="2"/>
    <x v="614"/>
    <s v="Média"/>
  </r>
  <r>
    <n v="507"/>
    <x v="102"/>
    <x v="0"/>
    <x v="2"/>
    <x v="2"/>
    <n v="2796"/>
    <x v="0"/>
    <x v="4"/>
    <x v="16"/>
    <n v="3776"/>
    <n v="15104"/>
    <n v="9822.7800000000007"/>
    <n v="5281.22"/>
    <x v="2"/>
    <x v="1"/>
    <x v="2"/>
    <x v="615"/>
    <s v="Média"/>
  </r>
  <r>
    <n v="901"/>
    <x v="72"/>
    <x v="1"/>
    <x v="2"/>
    <x v="0"/>
    <n v="1727"/>
    <x v="2"/>
    <x v="0"/>
    <x v="15"/>
    <n v="3013"/>
    <n v="15065"/>
    <n v="7824.87"/>
    <n v="7240.13"/>
    <x v="1"/>
    <x v="2"/>
    <x v="2"/>
    <x v="616"/>
    <s v="Alta"/>
  </r>
  <r>
    <n v="349"/>
    <x v="4"/>
    <x v="3"/>
    <x v="1"/>
    <x v="2"/>
    <n v="6017"/>
    <x v="2"/>
    <x v="3"/>
    <x v="5"/>
    <n v="999"/>
    <n v="14985"/>
    <n v="7029.87"/>
    <n v="7955.13"/>
    <x v="0"/>
    <x v="1"/>
    <x v="1"/>
    <x v="617"/>
    <s v="Alta"/>
  </r>
  <r>
    <n v="549"/>
    <x v="22"/>
    <x v="0"/>
    <x v="0"/>
    <x v="3"/>
    <n v="1542"/>
    <x v="1"/>
    <x v="4"/>
    <x v="16"/>
    <n v="3745"/>
    <n v="14980"/>
    <n v="11141.28"/>
    <n v="3838.72"/>
    <x v="0"/>
    <x v="2"/>
    <x v="0"/>
    <x v="618"/>
    <s v="Média"/>
  </r>
  <r>
    <n v="616"/>
    <x v="33"/>
    <x v="0"/>
    <x v="3"/>
    <x v="0"/>
    <n v="5022"/>
    <x v="2"/>
    <x v="2"/>
    <x v="7"/>
    <n v="1148"/>
    <n v="14924"/>
    <n v="9440.65"/>
    <n v="5483.35"/>
    <x v="2"/>
    <x v="0"/>
    <x v="2"/>
    <x v="619"/>
    <s v="Média"/>
  </r>
  <r>
    <n v="578"/>
    <x v="172"/>
    <x v="3"/>
    <x v="1"/>
    <x v="1"/>
    <n v="4150"/>
    <x v="0"/>
    <x v="1"/>
    <x v="9"/>
    <n v="1356"/>
    <n v="14916"/>
    <n v="7429.01"/>
    <n v="7486.99"/>
    <x v="2"/>
    <x v="2"/>
    <x v="0"/>
    <x v="620"/>
    <s v="Alta"/>
  </r>
  <r>
    <n v="669"/>
    <x v="120"/>
    <x v="2"/>
    <x v="4"/>
    <x v="3"/>
    <n v="7280"/>
    <x v="0"/>
    <x v="2"/>
    <x v="6"/>
    <n v="1064"/>
    <n v="14896"/>
    <n v="9772.5499999999993"/>
    <n v="5123.45"/>
    <x v="2"/>
    <x v="0"/>
    <x v="3"/>
    <x v="621"/>
    <s v="Média"/>
  </r>
  <r>
    <n v="916"/>
    <x v="123"/>
    <x v="1"/>
    <x v="3"/>
    <x v="2"/>
    <n v="4999"/>
    <x v="2"/>
    <x v="2"/>
    <x v="0"/>
    <n v="742"/>
    <n v="14840"/>
    <n v="6937.65"/>
    <n v="7902.35"/>
    <x v="2"/>
    <x v="0"/>
    <x v="2"/>
    <x v="622"/>
    <s v="Alta"/>
  </r>
  <r>
    <n v="528"/>
    <x v="28"/>
    <x v="0"/>
    <x v="3"/>
    <x v="1"/>
    <n v="1924"/>
    <x v="1"/>
    <x v="2"/>
    <x v="5"/>
    <n v="983"/>
    <n v="14745"/>
    <n v="6482.83"/>
    <n v="8262.17"/>
    <x v="2"/>
    <x v="0"/>
    <x v="0"/>
    <x v="623"/>
    <s v="Alta"/>
  </r>
  <r>
    <n v="627"/>
    <x v="137"/>
    <x v="3"/>
    <x v="0"/>
    <x v="1"/>
    <n v="2938"/>
    <x v="0"/>
    <x v="1"/>
    <x v="8"/>
    <n v="1228"/>
    <n v="14736"/>
    <n v="10637.05"/>
    <n v="4098.95"/>
    <x v="2"/>
    <x v="1"/>
    <x v="2"/>
    <x v="624"/>
    <s v="Média"/>
  </r>
  <r>
    <n v="979"/>
    <x v="14"/>
    <x v="1"/>
    <x v="4"/>
    <x v="3"/>
    <n v="8206"/>
    <x v="0"/>
    <x v="1"/>
    <x v="10"/>
    <n v="1465"/>
    <n v="14650"/>
    <n v="7332.49"/>
    <n v="7317.51"/>
    <x v="2"/>
    <x v="0"/>
    <x v="0"/>
    <x v="625"/>
    <s v="Alta"/>
  </r>
  <r>
    <n v="638"/>
    <x v="176"/>
    <x v="3"/>
    <x v="1"/>
    <x v="1"/>
    <n v="9327"/>
    <x v="2"/>
    <x v="4"/>
    <x v="17"/>
    <n v="4875"/>
    <n v="14625"/>
    <n v="9489.9599999999991"/>
    <n v="5135.04"/>
    <x v="0"/>
    <x v="2"/>
    <x v="2"/>
    <x v="626"/>
    <s v="Média"/>
  </r>
  <r>
    <n v="292"/>
    <x v="66"/>
    <x v="2"/>
    <x v="1"/>
    <x v="3"/>
    <n v="9014"/>
    <x v="1"/>
    <x v="2"/>
    <x v="15"/>
    <n v="2918"/>
    <n v="14590"/>
    <n v="8680.41"/>
    <n v="5909.59"/>
    <x v="0"/>
    <x v="0"/>
    <x v="0"/>
    <x v="627"/>
    <s v="Alta"/>
  </r>
  <r>
    <n v="617"/>
    <x v="96"/>
    <x v="2"/>
    <x v="2"/>
    <x v="0"/>
    <n v="1921"/>
    <x v="0"/>
    <x v="1"/>
    <x v="14"/>
    <n v="2428"/>
    <n v="14568"/>
    <n v="10960.48"/>
    <n v="3607.52"/>
    <x v="2"/>
    <x v="2"/>
    <x v="2"/>
    <x v="628"/>
    <s v="Média"/>
  </r>
  <r>
    <n v="930"/>
    <x v="147"/>
    <x v="2"/>
    <x v="3"/>
    <x v="2"/>
    <n v="9456"/>
    <x v="0"/>
    <x v="3"/>
    <x v="7"/>
    <n v="1119"/>
    <n v="14547"/>
    <n v="6422.22"/>
    <n v="8124.78"/>
    <x v="0"/>
    <x v="0"/>
    <x v="4"/>
    <x v="629"/>
    <s v="Alta"/>
  </r>
  <r>
    <n v="138"/>
    <x v="39"/>
    <x v="1"/>
    <x v="0"/>
    <x v="2"/>
    <n v="2520"/>
    <x v="2"/>
    <x v="2"/>
    <x v="2"/>
    <n v="808"/>
    <n v="14544"/>
    <n v="6181.94"/>
    <n v="8362.06"/>
    <x v="0"/>
    <x v="2"/>
    <x v="3"/>
    <x v="630"/>
    <s v="Alta"/>
  </r>
  <r>
    <n v="7"/>
    <x v="93"/>
    <x v="0"/>
    <x v="4"/>
    <x v="0"/>
    <n v="5494"/>
    <x v="1"/>
    <x v="0"/>
    <x v="9"/>
    <n v="1320"/>
    <n v="14520"/>
    <n v="10741.47"/>
    <n v="3778.53"/>
    <x v="0"/>
    <x v="2"/>
    <x v="0"/>
    <x v="631"/>
    <s v="Média"/>
  </r>
  <r>
    <n v="935"/>
    <x v="88"/>
    <x v="3"/>
    <x v="0"/>
    <x v="0"/>
    <n v="1858"/>
    <x v="1"/>
    <x v="2"/>
    <x v="13"/>
    <n v="2069"/>
    <n v="14483"/>
    <n v="6432.72"/>
    <n v="8050.28"/>
    <x v="2"/>
    <x v="2"/>
    <x v="2"/>
    <x v="632"/>
    <s v="Alta"/>
  </r>
  <r>
    <n v="285"/>
    <x v="177"/>
    <x v="1"/>
    <x v="2"/>
    <x v="2"/>
    <n v="7794"/>
    <x v="2"/>
    <x v="3"/>
    <x v="6"/>
    <n v="1030"/>
    <n v="14420"/>
    <n v="6964.53"/>
    <n v="7455.47"/>
    <x v="2"/>
    <x v="0"/>
    <x v="2"/>
    <x v="633"/>
    <s v="Alta"/>
  </r>
  <r>
    <n v="946"/>
    <x v="176"/>
    <x v="1"/>
    <x v="2"/>
    <x v="3"/>
    <n v="4192"/>
    <x v="1"/>
    <x v="4"/>
    <x v="11"/>
    <n v="1592"/>
    <n v="14328"/>
    <n v="7188.91"/>
    <n v="7139.09"/>
    <x v="2"/>
    <x v="0"/>
    <x v="4"/>
    <x v="634"/>
    <s v="Alta"/>
  </r>
  <r>
    <n v="238"/>
    <x v="115"/>
    <x v="0"/>
    <x v="2"/>
    <x v="1"/>
    <n v="6998"/>
    <x v="2"/>
    <x v="4"/>
    <x v="7"/>
    <n v="1101"/>
    <n v="14313"/>
    <n v="6305.89"/>
    <n v="8007.11"/>
    <x v="0"/>
    <x v="0"/>
    <x v="1"/>
    <x v="635"/>
    <s v="Alta"/>
  </r>
  <r>
    <n v="295"/>
    <x v="82"/>
    <x v="0"/>
    <x v="4"/>
    <x v="1"/>
    <n v="6975"/>
    <x v="2"/>
    <x v="1"/>
    <x v="4"/>
    <n v="888"/>
    <n v="14208"/>
    <n v="11340.24"/>
    <n v="2867.76"/>
    <x v="2"/>
    <x v="2"/>
    <x v="1"/>
    <x v="636"/>
    <s v="Média"/>
  </r>
  <r>
    <n v="568"/>
    <x v="45"/>
    <x v="0"/>
    <x v="2"/>
    <x v="0"/>
    <n v="9923"/>
    <x v="2"/>
    <x v="3"/>
    <x v="9"/>
    <n v="1288"/>
    <n v="14168"/>
    <n v="7713.38"/>
    <n v="6454.62"/>
    <x v="1"/>
    <x v="1"/>
    <x v="2"/>
    <x v="637"/>
    <s v="Alta"/>
  </r>
  <r>
    <n v="106"/>
    <x v="112"/>
    <x v="2"/>
    <x v="3"/>
    <x v="1"/>
    <n v="4653"/>
    <x v="1"/>
    <x v="4"/>
    <x v="17"/>
    <n v="4715"/>
    <n v="14145"/>
    <n v="11007.5"/>
    <n v="3137.5"/>
    <x v="0"/>
    <x v="0"/>
    <x v="2"/>
    <x v="638"/>
    <s v="Média"/>
  </r>
  <r>
    <n v="590"/>
    <x v="55"/>
    <x v="2"/>
    <x v="3"/>
    <x v="1"/>
    <n v="6285"/>
    <x v="1"/>
    <x v="1"/>
    <x v="16"/>
    <n v="3534"/>
    <n v="14136"/>
    <n v="10863.2"/>
    <n v="3272.8"/>
    <x v="0"/>
    <x v="1"/>
    <x v="3"/>
    <x v="639"/>
    <s v="Média"/>
  </r>
  <r>
    <n v="720"/>
    <x v="63"/>
    <x v="2"/>
    <x v="4"/>
    <x v="2"/>
    <n v="6971"/>
    <x v="0"/>
    <x v="4"/>
    <x v="16"/>
    <n v="3533"/>
    <n v="14132"/>
    <n v="9762.5400000000009"/>
    <n v="4369.46"/>
    <x v="0"/>
    <x v="0"/>
    <x v="1"/>
    <x v="640"/>
    <s v="Média"/>
  </r>
  <r>
    <n v="392"/>
    <x v="111"/>
    <x v="0"/>
    <x v="0"/>
    <x v="1"/>
    <n v="6282"/>
    <x v="0"/>
    <x v="4"/>
    <x v="5"/>
    <n v="942"/>
    <n v="14130"/>
    <n v="8749.2199999999993"/>
    <n v="5380.78"/>
    <x v="1"/>
    <x v="1"/>
    <x v="3"/>
    <x v="641"/>
    <s v="Média"/>
  </r>
  <r>
    <n v="398"/>
    <x v="25"/>
    <x v="1"/>
    <x v="2"/>
    <x v="0"/>
    <n v="2780"/>
    <x v="0"/>
    <x v="0"/>
    <x v="16"/>
    <n v="3516"/>
    <n v="14064"/>
    <n v="7228.3"/>
    <n v="6835.7"/>
    <x v="0"/>
    <x v="1"/>
    <x v="1"/>
    <x v="642"/>
    <s v="Alta"/>
  </r>
  <r>
    <n v="351"/>
    <x v="104"/>
    <x v="2"/>
    <x v="3"/>
    <x v="1"/>
    <n v="6770"/>
    <x v="2"/>
    <x v="3"/>
    <x v="17"/>
    <n v="4668"/>
    <n v="14004"/>
    <n v="8803.0499999999993"/>
    <n v="5200.95"/>
    <x v="0"/>
    <x v="2"/>
    <x v="2"/>
    <x v="643"/>
    <s v="Média"/>
  </r>
  <r>
    <n v="692"/>
    <x v="156"/>
    <x v="3"/>
    <x v="0"/>
    <x v="3"/>
    <n v="5578"/>
    <x v="1"/>
    <x v="4"/>
    <x v="17"/>
    <n v="4657"/>
    <n v="13971"/>
    <n v="6022.4"/>
    <n v="7948.6"/>
    <x v="1"/>
    <x v="0"/>
    <x v="3"/>
    <x v="644"/>
    <s v="Alta"/>
  </r>
  <r>
    <n v="444"/>
    <x v="16"/>
    <x v="3"/>
    <x v="1"/>
    <x v="0"/>
    <n v="2489"/>
    <x v="2"/>
    <x v="2"/>
    <x v="11"/>
    <n v="1545"/>
    <n v="13905"/>
    <n v="10466.65"/>
    <n v="3438.35"/>
    <x v="1"/>
    <x v="0"/>
    <x v="2"/>
    <x v="645"/>
    <s v="Média"/>
  </r>
  <r>
    <n v="499"/>
    <x v="109"/>
    <x v="2"/>
    <x v="2"/>
    <x v="1"/>
    <n v="4419"/>
    <x v="2"/>
    <x v="2"/>
    <x v="17"/>
    <n v="4633"/>
    <n v="13899"/>
    <n v="5565.21"/>
    <n v="8333.7900000000009"/>
    <x v="1"/>
    <x v="1"/>
    <x v="1"/>
    <x v="646"/>
    <s v="Alta"/>
  </r>
  <r>
    <n v="758"/>
    <x v="42"/>
    <x v="1"/>
    <x v="3"/>
    <x v="2"/>
    <n v="3495"/>
    <x v="1"/>
    <x v="4"/>
    <x v="12"/>
    <n v="1735"/>
    <n v="13880"/>
    <n v="5941.92"/>
    <n v="7938.08"/>
    <x v="0"/>
    <x v="2"/>
    <x v="4"/>
    <x v="647"/>
    <s v="Alta"/>
  </r>
  <r>
    <n v="399"/>
    <x v="100"/>
    <x v="3"/>
    <x v="1"/>
    <x v="0"/>
    <n v="2872"/>
    <x v="2"/>
    <x v="3"/>
    <x v="9"/>
    <n v="1247"/>
    <n v="13717"/>
    <n v="6891.8"/>
    <n v="6825.2"/>
    <x v="1"/>
    <x v="2"/>
    <x v="0"/>
    <x v="648"/>
    <s v="Alta"/>
  </r>
  <r>
    <n v="251"/>
    <x v="91"/>
    <x v="1"/>
    <x v="3"/>
    <x v="2"/>
    <n v="9457"/>
    <x v="0"/>
    <x v="1"/>
    <x v="10"/>
    <n v="1370"/>
    <n v="13700"/>
    <n v="7026.97"/>
    <n v="6673.03"/>
    <x v="1"/>
    <x v="0"/>
    <x v="3"/>
    <x v="649"/>
    <s v="Alta"/>
  </r>
  <r>
    <n v="153"/>
    <x v="162"/>
    <x v="1"/>
    <x v="1"/>
    <x v="3"/>
    <n v="5701"/>
    <x v="1"/>
    <x v="0"/>
    <x v="8"/>
    <n v="1137"/>
    <n v="13644"/>
    <n v="8393.4699999999993"/>
    <n v="5250.53"/>
    <x v="2"/>
    <x v="0"/>
    <x v="4"/>
    <x v="650"/>
    <s v="Média"/>
  </r>
  <r>
    <n v="362"/>
    <x v="11"/>
    <x v="1"/>
    <x v="3"/>
    <x v="3"/>
    <n v="2947"/>
    <x v="1"/>
    <x v="4"/>
    <x v="5"/>
    <n v="907"/>
    <n v="13605"/>
    <n v="5485.75"/>
    <n v="8119.25"/>
    <x v="0"/>
    <x v="2"/>
    <x v="4"/>
    <x v="651"/>
    <s v="Alta"/>
  </r>
  <r>
    <n v="174"/>
    <x v="132"/>
    <x v="2"/>
    <x v="1"/>
    <x v="0"/>
    <n v="7508"/>
    <x v="2"/>
    <x v="2"/>
    <x v="10"/>
    <n v="1359"/>
    <n v="13590"/>
    <n v="10581.76"/>
    <n v="3008.24"/>
    <x v="0"/>
    <x v="1"/>
    <x v="3"/>
    <x v="652"/>
    <s v="Média"/>
  </r>
  <r>
    <n v="143"/>
    <x v="7"/>
    <x v="0"/>
    <x v="4"/>
    <x v="2"/>
    <n v="8395"/>
    <x v="2"/>
    <x v="2"/>
    <x v="12"/>
    <n v="1691"/>
    <n v="13528"/>
    <n v="7411.25"/>
    <n v="6116.75"/>
    <x v="0"/>
    <x v="0"/>
    <x v="2"/>
    <x v="653"/>
    <s v="Alta"/>
  </r>
  <r>
    <n v="92"/>
    <x v="141"/>
    <x v="3"/>
    <x v="0"/>
    <x v="3"/>
    <n v="5639"/>
    <x v="0"/>
    <x v="1"/>
    <x v="17"/>
    <n v="4497"/>
    <n v="13491"/>
    <n v="9957.32"/>
    <n v="3533.68"/>
    <x v="1"/>
    <x v="1"/>
    <x v="2"/>
    <x v="654"/>
    <s v="Média"/>
  </r>
  <r>
    <n v="258"/>
    <x v="34"/>
    <x v="1"/>
    <x v="2"/>
    <x v="3"/>
    <n v="3526"/>
    <x v="1"/>
    <x v="1"/>
    <x v="17"/>
    <n v="4484"/>
    <n v="13452"/>
    <n v="6705.26"/>
    <n v="6746.74"/>
    <x v="1"/>
    <x v="2"/>
    <x v="2"/>
    <x v="655"/>
    <s v="Alta"/>
  </r>
  <r>
    <n v="357"/>
    <x v="85"/>
    <x v="1"/>
    <x v="3"/>
    <x v="3"/>
    <n v="3454"/>
    <x v="2"/>
    <x v="1"/>
    <x v="17"/>
    <n v="4483"/>
    <n v="13449"/>
    <n v="8398.2999999999993"/>
    <n v="5050.7"/>
    <x v="0"/>
    <x v="1"/>
    <x v="2"/>
    <x v="656"/>
    <s v="Média"/>
  </r>
  <r>
    <n v="282"/>
    <x v="128"/>
    <x v="3"/>
    <x v="4"/>
    <x v="0"/>
    <n v="2521"/>
    <x v="2"/>
    <x v="3"/>
    <x v="14"/>
    <n v="2233"/>
    <n v="13398"/>
    <n v="6600.86"/>
    <n v="6797.14"/>
    <x v="1"/>
    <x v="1"/>
    <x v="3"/>
    <x v="657"/>
    <s v="Alta"/>
  </r>
  <r>
    <n v="808"/>
    <x v="175"/>
    <x v="3"/>
    <x v="3"/>
    <x v="3"/>
    <n v="4672"/>
    <x v="1"/>
    <x v="2"/>
    <x v="13"/>
    <n v="1907"/>
    <n v="13349"/>
    <n v="7057.33"/>
    <n v="6291.67"/>
    <x v="1"/>
    <x v="1"/>
    <x v="1"/>
    <x v="658"/>
    <s v="Alta"/>
  </r>
  <r>
    <n v="700"/>
    <x v="160"/>
    <x v="1"/>
    <x v="2"/>
    <x v="0"/>
    <n v="9336"/>
    <x v="2"/>
    <x v="2"/>
    <x v="10"/>
    <n v="1332"/>
    <n v="13320"/>
    <n v="8888.0400000000009"/>
    <n v="4431.96"/>
    <x v="2"/>
    <x v="0"/>
    <x v="1"/>
    <x v="659"/>
    <s v="Média"/>
  </r>
  <r>
    <n v="241"/>
    <x v="96"/>
    <x v="0"/>
    <x v="4"/>
    <x v="0"/>
    <n v="3815"/>
    <x v="0"/>
    <x v="4"/>
    <x v="0"/>
    <n v="663"/>
    <n v="13260"/>
    <n v="6067.65"/>
    <n v="7192.35"/>
    <x v="0"/>
    <x v="1"/>
    <x v="3"/>
    <x v="660"/>
    <s v="Alta"/>
  </r>
  <r>
    <n v="135"/>
    <x v="50"/>
    <x v="2"/>
    <x v="4"/>
    <x v="0"/>
    <n v="8895"/>
    <x v="2"/>
    <x v="0"/>
    <x v="17"/>
    <n v="4403"/>
    <n v="13209"/>
    <n v="9479.17"/>
    <n v="3729.83"/>
    <x v="2"/>
    <x v="0"/>
    <x v="1"/>
    <x v="661"/>
    <s v="Média"/>
  </r>
  <r>
    <n v="895"/>
    <x v="137"/>
    <x v="2"/>
    <x v="0"/>
    <x v="0"/>
    <n v="9648"/>
    <x v="2"/>
    <x v="1"/>
    <x v="17"/>
    <n v="4381"/>
    <n v="13143"/>
    <n v="9308.69"/>
    <n v="3834.31"/>
    <x v="2"/>
    <x v="0"/>
    <x v="4"/>
    <x v="662"/>
    <s v="Média"/>
  </r>
  <r>
    <n v="722"/>
    <x v="70"/>
    <x v="3"/>
    <x v="1"/>
    <x v="3"/>
    <n v="5653"/>
    <x v="0"/>
    <x v="3"/>
    <x v="14"/>
    <n v="2190"/>
    <n v="13140"/>
    <n v="8734.58"/>
    <n v="4405.42"/>
    <x v="0"/>
    <x v="2"/>
    <x v="2"/>
    <x v="663"/>
    <s v="Média"/>
  </r>
  <r>
    <n v="786"/>
    <x v="71"/>
    <x v="1"/>
    <x v="4"/>
    <x v="0"/>
    <n v="5770"/>
    <x v="0"/>
    <x v="2"/>
    <x v="10"/>
    <n v="1314"/>
    <n v="13140"/>
    <n v="8683.81"/>
    <n v="4456.1899999999996"/>
    <x v="1"/>
    <x v="0"/>
    <x v="4"/>
    <x v="664"/>
    <s v="Média"/>
  </r>
  <r>
    <n v="195"/>
    <x v="88"/>
    <x v="2"/>
    <x v="3"/>
    <x v="1"/>
    <n v="5306"/>
    <x v="2"/>
    <x v="4"/>
    <x v="17"/>
    <n v="4368"/>
    <n v="13104"/>
    <n v="6672.71"/>
    <n v="6431.29"/>
    <x v="0"/>
    <x v="2"/>
    <x v="1"/>
    <x v="665"/>
    <s v="Alta"/>
  </r>
  <r>
    <n v="628"/>
    <x v="166"/>
    <x v="0"/>
    <x v="0"/>
    <x v="2"/>
    <n v="9264"/>
    <x v="0"/>
    <x v="2"/>
    <x v="15"/>
    <n v="2600"/>
    <n v="13000"/>
    <n v="9003.56"/>
    <n v="3996.44"/>
    <x v="0"/>
    <x v="1"/>
    <x v="2"/>
    <x v="666"/>
    <s v="Média"/>
  </r>
  <r>
    <n v="464"/>
    <x v="1"/>
    <x v="3"/>
    <x v="3"/>
    <x v="0"/>
    <n v="3656"/>
    <x v="0"/>
    <x v="0"/>
    <x v="14"/>
    <n v="2163"/>
    <n v="12978"/>
    <n v="9238.0400000000009"/>
    <n v="3739.96"/>
    <x v="0"/>
    <x v="0"/>
    <x v="4"/>
    <x v="667"/>
    <s v="Média"/>
  </r>
  <r>
    <n v="484"/>
    <x v="11"/>
    <x v="2"/>
    <x v="4"/>
    <x v="1"/>
    <n v="8916"/>
    <x v="2"/>
    <x v="4"/>
    <x v="13"/>
    <n v="1854"/>
    <n v="12978"/>
    <n v="6421.47"/>
    <n v="6556.53"/>
    <x v="2"/>
    <x v="1"/>
    <x v="0"/>
    <x v="668"/>
    <s v="Alta"/>
  </r>
  <r>
    <n v="157"/>
    <x v="71"/>
    <x v="1"/>
    <x v="0"/>
    <x v="3"/>
    <n v="3265"/>
    <x v="1"/>
    <x v="1"/>
    <x v="9"/>
    <n v="1179"/>
    <n v="12969"/>
    <n v="6050.92"/>
    <n v="6918.08"/>
    <x v="1"/>
    <x v="0"/>
    <x v="4"/>
    <x v="669"/>
    <s v="Alta"/>
  </r>
  <r>
    <n v="852"/>
    <x v="5"/>
    <x v="0"/>
    <x v="0"/>
    <x v="0"/>
    <n v="7953"/>
    <x v="1"/>
    <x v="3"/>
    <x v="12"/>
    <n v="1620"/>
    <n v="12960"/>
    <n v="9649.4599999999991"/>
    <n v="3310.54"/>
    <x v="2"/>
    <x v="2"/>
    <x v="2"/>
    <x v="670"/>
    <s v="Média"/>
  </r>
  <r>
    <n v="548"/>
    <x v="129"/>
    <x v="3"/>
    <x v="1"/>
    <x v="1"/>
    <n v="2580"/>
    <x v="1"/>
    <x v="1"/>
    <x v="6"/>
    <n v="921"/>
    <n v="12894"/>
    <n v="8816.2000000000007"/>
    <n v="4077.8"/>
    <x v="0"/>
    <x v="1"/>
    <x v="0"/>
    <x v="671"/>
    <s v="Média"/>
  </r>
  <r>
    <n v="365"/>
    <x v="98"/>
    <x v="0"/>
    <x v="3"/>
    <x v="2"/>
    <n v="7895"/>
    <x v="1"/>
    <x v="1"/>
    <x v="13"/>
    <n v="1837"/>
    <n v="12859"/>
    <n v="9610.39"/>
    <n v="3248.61"/>
    <x v="1"/>
    <x v="2"/>
    <x v="1"/>
    <x v="672"/>
    <s v="Média"/>
  </r>
  <r>
    <n v="995"/>
    <x v="40"/>
    <x v="0"/>
    <x v="0"/>
    <x v="1"/>
    <n v="4530"/>
    <x v="0"/>
    <x v="4"/>
    <x v="17"/>
    <n v="4282"/>
    <n v="12846"/>
    <n v="9506.7000000000007"/>
    <n v="3339.3"/>
    <x v="0"/>
    <x v="2"/>
    <x v="3"/>
    <x v="673"/>
    <s v="Média"/>
  </r>
  <r>
    <n v="994"/>
    <x v="167"/>
    <x v="0"/>
    <x v="4"/>
    <x v="3"/>
    <n v="4012"/>
    <x v="0"/>
    <x v="0"/>
    <x v="11"/>
    <n v="1427"/>
    <n v="12843"/>
    <n v="7184.23"/>
    <n v="5658.77"/>
    <x v="2"/>
    <x v="2"/>
    <x v="3"/>
    <x v="674"/>
    <s v="Alta"/>
  </r>
  <r>
    <n v="115"/>
    <x v="27"/>
    <x v="3"/>
    <x v="3"/>
    <x v="3"/>
    <n v="4675"/>
    <x v="2"/>
    <x v="0"/>
    <x v="14"/>
    <n v="2132"/>
    <n v="12792"/>
    <n v="6349.56"/>
    <n v="6442.44"/>
    <x v="0"/>
    <x v="2"/>
    <x v="3"/>
    <x v="675"/>
    <s v="Alta"/>
  </r>
  <r>
    <n v="845"/>
    <x v="19"/>
    <x v="2"/>
    <x v="3"/>
    <x v="3"/>
    <n v="3308"/>
    <x v="1"/>
    <x v="3"/>
    <x v="15"/>
    <n v="2553"/>
    <n v="12765"/>
    <n v="8179.61"/>
    <n v="4585.3900000000003"/>
    <x v="0"/>
    <x v="1"/>
    <x v="1"/>
    <x v="676"/>
    <s v="Média"/>
  </r>
  <r>
    <n v="82"/>
    <x v="117"/>
    <x v="0"/>
    <x v="0"/>
    <x v="2"/>
    <n v="9227"/>
    <x v="0"/>
    <x v="4"/>
    <x v="16"/>
    <n v="3184"/>
    <n v="12736"/>
    <n v="9987.99"/>
    <n v="2748.01"/>
    <x v="1"/>
    <x v="1"/>
    <x v="4"/>
    <x v="677"/>
    <s v="Média"/>
  </r>
  <r>
    <n v="497"/>
    <x v="150"/>
    <x v="0"/>
    <x v="1"/>
    <x v="1"/>
    <n v="5172"/>
    <x v="1"/>
    <x v="0"/>
    <x v="15"/>
    <n v="2542"/>
    <n v="12710"/>
    <n v="5337.56"/>
    <n v="7372.44"/>
    <x v="0"/>
    <x v="2"/>
    <x v="0"/>
    <x v="678"/>
    <s v="Alta"/>
  </r>
  <r>
    <n v="668"/>
    <x v="63"/>
    <x v="0"/>
    <x v="0"/>
    <x v="0"/>
    <n v="9541"/>
    <x v="0"/>
    <x v="3"/>
    <x v="8"/>
    <n v="1058"/>
    <n v="12696"/>
    <n v="8564.93"/>
    <n v="4131.07"/>
    <x v="1"/>
    <x v="1"/>
    <x v="3"/>
    <x v="679"/>
    <s v="Média"/>
  </r>
  <r>
    <n v="919"/>
    <x v="19"/>
    <x v="2"/>
    <x v="1"/>
    <x v="3"/>
    <n v="2474"/>
    <x v="0"/>
    <x v="0"/>
    <x v="14"/>
    <n v="2114"/>
    <n v="12684"/>
    <n v="9144.26"/>
    <n v="3539.74"/>
    <x v="2"/>
    <x v="1"/>
    <x v="4"/>
    <x v="680"/>
    <s v="Média"/>
  </r>
  <r>
    <n v="250"/>
    <x v="97"/>
    <x v="1"/>
    <x v="1"/>
    <x v="2"/>
    <n v="2460"/>
    <x v="2"/>
    <x v="3"/>
    <x v="13"/>
    <n v="1811"/>
    <n v="12677"/>
    <n v="7003.05"/>
    <n v="5673.95"/>
    <x v="1"/>
    <x v="0"/>
    <x v="4"/>
    <x v="681"/>
    <s v="Alta"/>
  </r>
  <r>
    <n v="662"/>
    <x v="2"/>
    <x v="2"/>
    <x v="4"/>
    <x v="2"/>
    <n v="8828"/>
    <x v="2"/>
    <x v="1"/>
    <x v="17"/>
    <n v="4223"/>
    <n v="12669"/>
    <n v="8266.7999999999993"/>
    <n v="4402.2"/>
    <x v="2"/>
    <x v="2"/>
    <x v="2"/>
    <x v="682"/>
    <s v="Média"/>
  </r>
  <r>
    <n v="315"/>
    <x v="13"/>
    <x v="2"/>
    <x v="1"/>
    <x v="0"/>
    <n v="5619"/>
    <x v="0"/>
    <x v="3"/>
    <x v="5"/>
    <n v="844"/>
    <n v="12660"/>
    <n v="8994.07"/>
    <n v="3665.93"/>
    <x v="2"/>
    <x v="1"/>
    <x v="0"/>
    <x v="683"/>
    <s v="Média"/>
  </r>
  <r>
    <n v="330"/>
    <x v="100"/>
    <x v="2"/>
    <x v="2"/>
    <x v="1"/>
    <n v="4923"/>
    <x v="2"/>
    <x v="4"/>
    <x v="5"/>
    <n v="840"/>
    <n v="12600"/>
    <n v="8616.2099999999991"/>
    <n v="3983.79"/>
    <x v="2"/>
    <x v="2"/>
    <x v="4"/>
    <x v="684"/>
    <s v="Média"/>
  </r>
  <r>
    <n v="752"/>
    <x v="45"/>
    <x v="3"/>
    <x v="3"/>
    <x v="0"/>
    <n v="1269"/>
    <x v="2"/>
    <x v="0"/>
    <x v="7"/>
    <n v="969"/>
    <n v="12597"/>
    <n v="8888.8799999999992"/>
    <n v="3708.12"/>
    <x v="0"/>
    <x v="0"/>
    <x v="3"/>
    <x v="685"/>
    <s v="Média"/>
  </r>
  <r>
    <n v="794"/>
    <x v="39"/>
    <x v="0"/>
    <x v="1"/>
    <x v="2"/>
    <n v="4723"/>
    <x v="2"/>
    <x v="2"/>
    <x v="14"/>
    <n v="2096"/>
    <n v="12576"/>
    <n v="8529.2000000000007"/>
    <n v="4046.8"/>
    <x v="1"/>
    <x v="2"/>
    <x v="2"/>
    <x v="686"/>
    <s v="Média"/>
  </r>
  <r>
    <n v="631"/>
    <x v="60"/>
    <x v="3"/>
    <x v="0"/>
    <x v="2"/>
    <n v="8728"/>
    <x v="1"/>
    <x v="0"/>
    <x v="15"/>
    <n v="2508"/>
    <n v="12540"/>
    <n v="8639.25"/>
    <n v="3900.75"/>
    <x v="2"/>
    <x v="1"/>
    <x v="4"/>
    <x v="687"/>
    <s v="Média"/>
  </r>
  <r>
    <n v="475"/>
    <x v="44"/>
    <x v="2"/>
    <x v="0"/>
    <x v="2"/>
    <n v="7304"/>
    <x v="1"/>
    <x v="3"/>
    <x v="16"/>
    <n v="3113"/>
    <n v="12452"/>
    <n v="6978.78"/>
    <n v="5473.22"/>
    <x v="2"/>
    <x v="2"/>
    <x v="0"/>
    <x v="688"/>
    <s v="Alta"/>
  </r>
  <r>
    <n v="554"/>
    <x v="33"/>
    <x v="1"/>
    <x v="2"/>
    <x v="3"/>
    <n v="2440"/>
    <x v="0"/>
    <x v="0"/>
    <x v="14"/>
    <n v="2059"/>
    <n v="12354"/>
    <n v="5767.25"/>
    <n v="6586.75"/>
    <x v="0"/>
    <x v="0"/>
    <x v="3"/>
    <x v="689"/>
    <s v="Alta"/>
  </r>
  <r>
    <n v="323"/>
    <x v="148"/>
    <x v="1"/>
    <x v="1"/>
    <x v="1"/>
    <n v="1538"/>
    <x v="0"/>
    <x v="1"/>
    <x v="17"/>
    <n v="4072"/>
    <n v="12216"/>
    <n v="8871.4699999999993"/>
    <n v="3344.53"/>
    <x v="2"/>
    <x v="0"/>
    <x v="3"/>
    <x v="690"/>
    <s v="Média"/>
  </r>
  <r>
    <n v="228"/>
    <x v="24"/>
    <x v="1"/>
    <x v="0"/>
    <x v="2"/>
    <n v="3740"/>
    <x v="0"/>
    <x v="3"/>
    <x v="13"/>
    <n v="1725"/>
    <n v="12075"/>
    <n v="6759.99"/>
    <n v="5315.01"/>
    <x v="1"/>
    <x v="0"/>
    <x v="2"/>
    <x v="691"/>
    <s v="Alta"/>
  </r>
  <r>
    <n v="596"/>
    <x v="6"/>
    <x v="1"/>
    <x v="0"/>
    <x v="0"/>
    <n v="6483"/>
    <x v="1"/>
    <x v="4"/>
    <x v="17"/>
    <n v="4013"/>
    <n v="12039"/>
    <n v="6144.94"/>
    <n v="5894.06"/>
    <x v="1"/>
    <x v="1"/>
    <x v="3"/>
    <x v="692"/>
    <s v="Alta"/>
  </r>
  <r>
    <n v="427"/>
    <x v="52"/>
    <x v="2"/>
    <x v="1"/>
    <x v="0"/>
    <n v="7476"/>
    <x v="0"/>
    <x v="4"/>
    <x v="17"/>
    <n v="3981"/>
    <n v="11943"/>
    <n v="7571.65"/>
    <n v="4371.3500000000004"/>
    <x v="0"/>
    <x v="0"/>
    <x v="2"/>
    <x v="693"/>
    <s v="Média"/>
  </r>
  <r>
    <n v="387"/>
    <x v="80"/>
    <x v="0"/>
    <x v="0"/>
    <x v="1"/>
    <n v="2761"/>
    <x v="0"/>
    <x v="0"/>
    <x v="17"/>
    <n v="3955"/>
    <n v="11865"/>
    <n v="8690.2999999999993"/>
    <n v="3174.7"/>
    <x v="1"/>
    <x v="2"/>
    <x v="2"/>
    <x v="694"/>
    <s v="Média"/>
  </r>
  <r>
    <n v="814"/>
    <x v="178"/>
    <x v="1"/>
    <x v="2"/>
    <x v="2"/>
    <n v="2585"/>
    <x v="1"/>
    <x v="4"/>
    <x v="5"/>
    <n v="787"/>
    <n v="11805"/>
    <n v="7768.39"/>
    <n v="4036.61"/>
    <x v="0"/>
    <x v="1"/>
    <x v="3"/>
    <x v="695"/>
    <s v="Média"/>
  </r>
  <r>
    <n v="566"/>
    <x v="113"/>
    <x v="3"/>
    <x v="2"/>
    <x v="3"/>
    <n v="9030"/>
    <x v="1"/>
    <x v="3"/>
    <x v="17"/>
    <n v="3931"/>
    <n v="11793"/>
    <n v="4919.17"/>
    <n v="6873.83"/>
    <x v="0"/>
    <x v="1"/>
    <x v="1"/>
    <x v="696"/>
    <s v="Alta"/>
  </r>
  <r>
    <n v="917"/>
    <x v="128"/>
    <x v="3"/>
    <x v="3"/>
    <x v="1"/>
    <n v="8535"/>
    <x v="0"/>
    <x v="0"/>
    <x v="16"/>
    <n v="2937"/>
    <n v="11748"/>
    <n v="5089.68"/>
    <n v="6658.32"/>
    <x v="0"/>
    <x v="0"/>
    <x v="2"/>
    <x v="697"/>
    <s v="Alta"/>
  </r>
  <r>
    <n v="147"/>
    <x v="72"/>
    <x v="2"/>
    <x v="1"/>
    <x v="0"/>
    <n v="6452"/>
    <x v="1"/>
    <x v="4"/>
    <x v="12"/>
    <n v="1466"/>
    <n v="11728"/>
    <n v="9359.08"/>
    <n v="2368.92"/>
    <x v="2"/>
    <x v="2"/>
    <x v="2"/>
    <x v="698"/>
    <s v="Média"/>
  </r>
  <r>
    <n v="55"/>
    <x v="14"/>
    <x v="1"/>
    <x v="1"/>
    <x v="2"/>
    <n v="4517"/>
    <x v="1"/>
    <x v="3"/>
    <x v="17"/>
    <n v="3892"/>
    <n v="11676"/>
    <n v="5371.52"/>
    <n v="6304.48"/>
    <x v="2"/>
    <x v="1"/>
    <x v="3"/>
    <x v="699"/>
    <s v="Alta"/>
  </r>
  <r>
    <n v="698"/>
    <x v="18"/>
    <x v="0"/>
    <x v="2"/>
    <x v="1"/>
    <n v="7745"/>
    <x v="1"/>
    <x v="4"/>
    <x v="15"/>
    <n v="2316"/>
    <n v="11580"/>
    <n v="7412.78"/>
    <n v="4167.22"/>
    <x v="0"/>
    <x v="2"/>
    <x v="0"/>
    <x v="700"/>
    <s v="Média"/>
  </r>
  <r>
    <n v="421"/>
    <x v="44"/>
    <x v="1"/>
    <x v="4"/>
    <x v="3"/>
    <n v="9854"/>
    <x v="2"/>
    <x v="4"/>
    <x v="11"/>
    <n v="1285"/>
    <n v="11565"/>
    <n v="5090.3900000000003"/>
    <n v="6474.61"/>
    <x v="1"/>
    <x v="0"/>
    <x v="0"/>
    <x v="701"/>
    <s v="Alta"/>
  </r>
  <r>
    <n v="75"/>
    <x v="158"/>
    <x v="1"/>
    <x v="2"/>
    <x v="3"/>
    <n v="8285"/>
    <x v="1"/>
    <x v="2"/>
    <x v="10"/>
    <n v="1151"/>
    <n v="11510"/>
    <n v="6619.31"/>
    <n v="4890.6899999999996"/>
    <x v="1"/>
    <x v="0"/>
    <x v="1"/>
    <x v="702"/>
    <s v="Alta"/>
  </r>
  <r>
    <n v="582"/>
    <x v="119"/>
    <x v="2"/>
    <x v="2"/>
    <x v="3"/>
    <n v="7175"/>
    <x v="1"/>
    <x v="3"/>
    <x v="15"/>
    <n v="2300"/>
    <n v="11500"/>
    <n v="5062.26"/>
    <n v="6437.74"/>
    <x v="2"/>
    <x v="0"/>
    <x v="2"/>
    <x v="703"/>
    <s v="Alta"/>
  </r>
  <r>
    <n v="542"/>
    <x v="148"/>
    <x v="1"/>
    <x v="4"/>
    <x v="0"/>
    <n v="6779"/>
    <x v="1"/>
    <x v="3"/>
    <x v="6"/>
    <n v="821"/>
    <n v="11494"/>
    <n v="7589.43"/>
    <n v="3904.57"/>
    <x v="1"/>
    <x v="1"/>
    <x v="1"/>
    <x v="704"/>
    <s v="Média"/>
  </r>
  <r>
    <n v="335"/>
    <x v="24"/>
    <x v="0"/>
    <x v="0"/>
    <x v="3"/>
    <n v="5526"/>
    <x v="2"/>
    <x v="3"/>
    <x v="11"/>
    <n v="1267"/>
    <n v="11403"/>
    <n v="8712.91"/>
    <n v="2690.09"/>
    <x v="2"/>
    <x v="1"/>
    <x v="1"/>
    <x v="705"/>
    <s v="Média"/>
  </r>
  <r>
    <n v="380"/>
    <x v="78"/>
    <x v="2"/>
    <x v="0"/>
    <x v="1"/>
    <n v="6530"/>
    <x v="0"/>
    <x v="3"/>
    <x v="0"/>
    <n v="567"/>
    <n v="11340"/>
    <n v="8505.16"/>
    <n v="2834.84"/>
    <x v="1"/>
    <x v="1"/>
    <x v="3"/>
    <x v="706"/>
    <s v="Média"/>
  </r>
  <r>
    <n v="911"/>
    <x v="40"/>
    <x v="1"/>
    <x v="3"/>
    <x v="0"/>
    <n v="9811"/>
    <x v="2"/>
    <x v="3"/>
    <x v="7"/>
    <n v="872"/>
    <n v="11336"/>
    <n v="9062.4"/>
    <n v="2273.6"/>
    <x v="1"/>
    <x v="1"/>
    <x v="1"/>
    <x v="707"/>
    <s v="Média"/>
  </r>
  <r>
    <n v="133"/>
    <x v="4"/>
    <x v="3"/>
    <x v="3"/>
    <x v="2"/>
    <n v="8372"/>
    <x v="0"/>
    <x v="2"/>
    <x v="15"/>
    <n v="2219"/>
    <n v="11095"/>
    <n v="5578.3"/>
    <n v="5516.7"/>
    <x v="1"/>
    <x v="1"/>
    <x v="0"/>
    <x v="708"/>
    <s v="Alta"/>
  </r>
  <r>
    <n v="713"/>
    <x v="99"/>
    <x v="0"/>
    <x v="1"/>
    <x v="1"/>
    <n v="3717"/>
    <x v="2"/>
    <x v="2"/>
    <x v="11"/>
    <n v="1226"/>
    <n v="11034"/>
    <n v="5657.27"/>
    <n v="5376.73"/>
    <x v="2"/>
    <x v="2"/>
    <x v="2"/>
    <x v="709"/>
    <s v="Alta"/>
  </r>
  <r>
    <n v="474"/>
    <x v="81"/>
    <x v="0"/>
    <x v="0"/>
    <x v="0"/>
    <n v="3542"/>
    <x v="2"/>
    <x v="2"/>
    <x v="16"/>
    <n v="2739"/>
    <n v="10956"/>
    <n v="5947.35"/>
    <n v="5008.6499999999996"/>
    <x v="1"/>
    <x v="1"/>
    <x v="3"/>
    <x v="710"/>
    <s v="Alta"/>
  </r>
  <r>
    <n v="751"/>
    <x v="125"/>
    <x v="0"/>
    <x v="1"/>
    <x v="1"/>
    <n v="4691"/>
    <x v="0"/>
    <x v="0"/>
    <x v="9"/>
    <n v="992"/>
    <n v="10912"/>
    <n v="5304.14"/>
    <n v="5607.86"/>
    <x v="0"/>
    <x v="1"/>
    <x v="0"/>
    <x v="711"/>
    <s v="Alta"/>
  </r>
  <r>
    <n v="896"/>
    <x v="18"/>
    <x v="2"/>
    <x v="3"/>
    <x v="0"/>
    <n v="7391"/>
    <x v="2"/>
    <x v="0"/>
    <x v="12"/>
    <n v="1364"/>
    <n v="10912"/>
    <n v="5244.52"/>
    <n v="5667.48"/>
    <x v="0"/>
    <x v="2"/>
    <x v="2"/>
    <x v="712"/>
    <s v="Alta"/>
  </r>
  <r>
    <n v="172"/>
    <x v="156"/>
    <x v="3"/>
    <x v="3"/>
    <x v="2"/>
    <n v="6657"/>
    <x v="1"/>
    <x v="0"/>
    <x v="2"/>
    <n v="602"/>
    <n v="10836"/>
    <n v="8121.76"/>
    <n v="2714.24"/>
    <x v="1"/>
    <x v="0"/>
    <x v="2"/>
    <x v="713"/>
    <s v="Média"/>
  </r>
  <r>
    <n v="898"/>
    <x v="99"/>
    <x v="2"/>
    <x v="4"/>
    <x v="2"/>
    <n v="9500"/>
    <x v="1"/>
    <x v="0"/>
    <x v="14"/>
    <n v="1806"/>
    <n v="10836"/>
    <n v="5034.78"/>
    <n v="5801.22"/>
    <x v="1"/>
    <x v="1"/>
    <x v="3"/>
    <x v="714"/>
    <s v="Alta"/>
  </r>
  <r>
    <n v="413"/>
    <x v="79"/>
    <x v="1"/>
    <x v="0"/>
    <x v="2"/>
    <n v="4635"/>
    <x v="0"/>
    <x v="1"/>
    <x v="8"/>
    <n v="898"/>
    <n v="10776"/>
    <n v="7402.68"/>
    <n v="3373.32"/>
    <x v="0"/>
    <x v="2"/>
    <x v="3"/>
    <x v="715"/>
    <s v="Média"/>
  </r>
  <r>
    <n v="30"/>
    <x v="54"/>
    <x v="3"/>
    <x v="3"/>
    <x v="3"/>
    <n v="7675"/>
    <x v="1"/>
    <x v="4"/>
    <x v="5"/>
    <n v="717"/>
    <n v="10755"/>
    <n v="8287.1299999999992"/>
    <n v="2467.87"/>
    <x v="0"/>
    <x v="2"/>
    <x v="4"/>
    <x v="716"/>
    <s v="Média"/>
  </r>
  <r>
    <n v="456"/>
    <x v="172"/>
    <x v="2"/>
    <x v="1"/>
    <x v="0"/>
    <n v="1598"/>
    <x v="2"/>
    <x v="0"/>
    <x v="10"/>
    <n v="1068"/>
    <n v="10680"/>
    <n v="7850.55"/>
    <n v="2829.45"/>
    <x v="2"/>
    <x v="1"/>
    <x v="4"/>
    <x v="717"/>
    <s v="Média"/>
  </r>
  <r>
    <n v="536"/>
    <x v="173"/>
    <x v="0"/>
    <x v="2"/>
    <x v="2"/>
    <n v="3549"/>
    <x v="1"/>
    <x v="1"/>
    <x v="7"/>
    <n v="821"/>
    <n v="10673"/>
    <n v="5253.93"/>
    <n v="5419.07"/>
    <x v="2"/>
    <x v="2"/>
    <x v="2"/>
    <x v="718"/>
    <s v="Alta"/>
  </r>
  <r>
    <n v="348"/>
    <x v="30"/>
    <x v="0"/>
    <x v="4"/>
    <x v="3"/>
    <n v="3561"/>
    <x v="1"/>
    <x v="4"/>
    <x v="1"/>
    <n v="561"/>
    <n v="10659"/>
    <n v="5965.39"/>
    <n v="4693.6099999999997"/>
    <x v="1"/>
    <x v="2"/>
    <x v="1"/>
    <x v="719"/>
    <s v="Alta"/>
  </r>
  <r>
    <n v="744"/>
    <x v="42"/>
    <x v="1"/>
    <x v="1"/>
    <x v="2"/>
    <n v="9937"/>
    <x v="1"/>
    <x v="4"/>
    <x v="11"/>
    <n v="1183"/>
    <n v="10647"/>
    <n v="4911.5200000000004"/>
    <n v="5735.48"/>
    <x v="2"/>
    <x v="2"/>
    <x v="3"/>
    <x v="720"/>
    <s v="Alta"/>
  </r>
  <r>
    <n v="15"/>
    <x v="55"/>
    <x v="2"/>
    <x v="1"/>
    <x v="3"/>
    <n v="3112"/>
    <x v="0"/>
    <x v="4"/>
    <x v="15"/>
    <n v="2128"/>
    <n v="10640"/>
    <n v="5521.98"/>
    <n v="5118.0200000000004"/>
    <x v="1"/>
    <x v="2"/>
    <x v="3"/>
    <x v="721"/>
    <s v="Alta"/>
  </r>
  <r>
    <n v="378"/>
    <x v="0"/>
    <x v="3"/>
    <x v="2"/>
    <x v="2"/>
    <n v="3311"/>
    <x v="1"/>
    <x v="2"/>
    <x v="15"/>
    <n v="2120"/>
    <n v="10600"/>
    <n v="7322.08"/>
    <n v="3277.92"/>
    <x v="0"/>
    <x v="1"/>
    <x v="1"/>
    <x v="722"/>
    <s v="Média"/>
  </r>
  <r>
    <n v="419"/>
    <x v="157"/>
    <x v="2"/>
    <x v="4"/>
    <x v="3"/>
    <n v="3146"/>
    <x v="1"/>
    <x v="4"/>
    <x v="16"/>
    <n v="2633"/>
    <n v="10532"/>
    <n v="8071.4"/>
    <n v="2460.6"/>
    <x v="1"/>
    <x v="0"/>
    <x v="2"/>
    <x v="723"/>
    <s v="Média"/>
  </r>
  <r>
    <n v="70"/>
    <x v="155"/>
    <x v="1"/>
    <x v="3"/>
    <x v="2"/>
    <n v="9180"/>
    <x v="2"/>
    <x v="0"/>
    <x v="13"/>
    <n v="1491"/>
    <n v="10437"/>
    <n v="6247.11"/>
    <n v="4189.8900000000003"/>
    <x v="0"/>
    <x v="0"/>
    <x v="2"/>
    <x v="724"/>
    <s v="Alta"/>
  </r>
  <r>
    <n v="731"/>
    <x v="59"/>
    <x v="3"/>
    <x v="2"/>
    <x v="0"/>
    <n v="7825"/>
    <x v="1"/>
    <x v="4"/>
    <x v="9"/>
    <n v="948"/>
    <n v="10428"/>
    <n v="7947.68"/>
    <n v="2480.3200000000002"/>
    <x v="0"/>
    <x v="1"/>
    <x v="2"/>
    <x v="725"/>
    <s v="Média"/>
  </r>
  <r>
    <n v="645"/>
    <x v="146"/>
    <x v="2"/>
    <x v="3"/>
    <x v="2"/>
    <n v="1389"/>
    <x v="2"/>
    <x v="0"/>
    <x v="17"/>
    <n v="3454"/>
    <n v="10362"/>
    <n v="5217.2299999999996"/>
    <n v="5144.7700000000004"/>
    <x v="0"/>
    <x v="0"/>
    <x v="0"/>
    <x v="726"/>
    <s v="Alta"/>
  </r>
  <r>
    <n v="123"/>
    <x v="34"/>
    <x v="1"/>
    <x v="0"/>
    <x v="2"/>
    <n v="6227"/>
    <x v="0"/>
    <x v="2"/>
    <x v="16"/>
    <n v="2562"/>
    <n v="10248"/>
    <n v="7360.7"/>
    <n v="2887.3"/>
    <x v="0"/>
    <x v="0"/>
    <x v="2"/>
    <x v="727"/>
    <s v="Média"/>
  </r>
  <r>
    <n v="637"/>
    <x v="63"/>
    <x v="0"/>
    <x v="4"/>
    <x v="1"/>
    <n v="6064"/>
    <x v="0"/>
    <x v="4"/>
    <x v="12"/>
    <n v="1270"/>
    <n v="10160"/>
    <n v="4599.8599999999997"/>
    <n v="5560.14"/>
    <x v="0"/>
    <x v="0"/>
    <x v="2"/>
    <x v="728"/>
    <s v="Alta"/>
  </r>
  <r>
    <n v="640"/>
    <x v="155"/>
    <x v="3"/>
    <x v="0"/>
    <x v="3"/>
    <n v="1898"/>
    <x v="1"/>
    <x v="3"/>
    <x v="9"/>
    <n v="923"/>
    <n v="10153"/>
    <n v="6744.24"/>
    <n v="3408.76"/>
    <x v="1"/>
    <x v="0"/>
    <x v="3"/>
    <x v="729"/>
    <s v="Média"/>
  </r>
  <r>
    <n v="646"/>
    <x v="165"/>
    <x v="0"/>
    <x v="4"/>
    <x v="2"/>
    <n v="4395"/>
    <x v="1"/>
    <x v="4"/>
    <x v="17"/>
    <n v="3371"/>
    <n v="10113"/>
    <n v="6600.48"/>
    <n v="3512.52"/>
    <x v="0"/>
    <x v="1"/>
    <x v="0"/>
    <x v="730"/>
    <s v="Média"/>
  </r>
  <r>
    <n v="604"/>
    <x v="100"/>
    <x v="1"/>
    <x v="3"/>
    <x v="2"/>
    <n v="1775"/>
    <x v="1"/>
    <x v="0"/>
    <x v="16"/>
    <n v="2521"/>
    <n v="10084"/>
    <n v="6825.51"/>
    <n v="3258.49"/>
    <x v="2"/>
    <x v="0"/>
    <x v="0"/>
    <x v="731"/>
    <s v="Média"/>
  </r>
  <r>
    <n v="641"/>
    <x v="87"/>
    <x v="3"/>
    <x v="2"/>
    <x v="1"/>
    <n v="6176"/>
    <x v="0"/>
    <x v="2"/>
    <x v="11"/>
    <n v="1120"/>
    <n v="10080"/>
    <n v="7235.13"/>
    <n v="2844.87"/>
    <x v="1"/>
    <x v="1"/>
    <x v="1"/>
    <x v="732"/>
    <s v="Média"/>
  </r>
  <r>
    <n v="889"/>
    <x v="77"/>
    <x v="1"/>
    <x v="3"/>
    <x v="1"/>
    <n v="7598"/>
    <x v="2"/>
    <x v="0"/>
    <x v="13"/>
    <n v="1433"/>
    <n v="10031"/>
    <n v="4033.62"/>
    <n v="5997.38"/>
    <x v="1"/>
    <x v="1"/>
    <x v="2"/>
    <x v="733"/>
    <s v="Alta"/>
  </r>
  <r>
    <n v="748"/>
    <x v="20"/>
    <x v="0"/>
    <x v="4"/>
    <x v="1"/>
    <n v="2603"/>
    <x v="2"/>
    <x v="1"/>
    <x v="14"/>
    <n v="1667"/>
    <n v="10002"/>
    <n v="7334.69"/>
    <n v="2667.31"/>
    <x v="1"/>
    <x v="1"/>
    <x v="3"/>
    <x v="734"/>
    <s v="Média"/>
  </r>
  <r>
    <n v="929"/>
    <x v="111"/>
    <x v="0"/>
    <x v="2"/>
    <x v="1"/>
    <n v="9675"/>
    <x v="0"/>
    <x v="0"/>
    <x v="18"/>
    <n v="4980"/>
    <n v="9960"/>
    <n v="7866.11"/>
    <n v="2093.89"/>
    <x v="1"/>
    <x v="0"/>
    <x v="3"/>
    <x v="735"/>
    <s v="Média"/>
  </r>
  <r>
    <n v="352"/>
    <x v="80"/>
    <x v="3"/>
    <x v="1"/>
    <x v="1"/>
    <n v="4126"/>
    <x v="0"/>
    <x v="1"/>
    <x v="16"/>
    <n v="2474"/>
    <n v="9896"/>
    <n v="4390.33"/>
    <n v="5505.67"/>
    <x v="1"/>
    <x v="2"/>
    <x v="2"/>
    <x v="736"/>
    <s v="Alta"/>
  </r>
  <r>
    <n v="796"/>
    <x v="53"/>
    <x v="1"/>
    <x v="3"/>
    <x v="3"/>
    <n v="3551"/>
    <x v="1"/>
    <x v="3"/>
    <x v="0"/>
    <n v="494"/>
    <n v="9880"/>
    <n v="4278.91"/>
    <n v="5601.09"/>
    <x v="0"/>
    <x v="2"/>
    <x v="4"/>
    <x v="737"/>
    <s v="Alta"/>
  </r>
  <r>
    <n v="253"/>
    <x v="138"/>
    <x v="0"/>
    <x v="0"/>
    <x v="3"/>
    <n v="8567"/>
    <x v="0"/>
    <x v="2"/>
    <x v="14"/>
    <n v="1636"/>
    <n v="9816"/>
    <n v="7310.61"/>
    <n v="2505.39"/>
    <x v="0"/>
    <x v="2"/>
    <x v="0"/>
    <x v="738"/>
    <s v="Média"/>
  </r>
  <r>
    <n v="739"/>
    <x v="15"/>
    <x v="1"/>
    <x v="4"/>
    <x v="1"/>
    <n v="5670"/>
    <x v="1"/>
    <x v="1"/>
    <x v="3"/>
    <n v="577"/>
    <n v="9809"/>
    <n v="6206.01"/>
    <n v="3602.99"/>
    <x v="2"/>
    <x v="1"/>
    <x v="4"/>
    <x v="739"/>
    <s v="Média"/>
  </r>
  <r>
    <n v="867"/>
    <x v="93"/>
    <x v="2"/>
    <x v="4"/>
    <x v="0"/>
    <n v="7885"/>
    <x v="1"/>
    <x v="2"/>
    <x v="16"/>
    <n v="2442"/>
    <n v="9768"/>
    <n v="6565.75"/>
    <n v="3202.25"/>
    <x v="0"/>
    <x v="2"/>
    <x v="0"/>
    <x v="740"/>
    <s v="Média"/>
  </r>
  <r>
    <n v="800"/>
    <x v="133"/>
    <x v="1"/>
    <x v="3"/>
    <x v="0"/>
    <n v="9796"/>
    <x v="0"/>
    <x v="3"/>
    <x v="17"/>
    <n v="3249"/>
    <n v="9747"/>
    <n v="5705.29"/>
    <n v="4041.71"/>
    <x v="2"/>
    <x v="2"/>
    <x v="4"/>
    <x v="741"/>
    <s v="Alta"/>
  </r>
  <r>
    <n v="971"/>
    <x v="171"/>
    <x v="1"/>
    <x v="4"/>
    <x v="0"/>
    <n v="8261"/>
    <x v="1"/>
    <x v="1"/>
    <x v="6"/>
    <n v="695"/>
    <n v="9730"/>
    <n v="4010.22"/>
    <n v="5719.78"/>
    <x v="1"/>
    <x v="0"/>
    <x v="3"/>
    <x v="742"/>
    <s v="Alta"/>
  </r>
  <r>
    <n v="274"/>
    <x v="56"/>
    <x v="2"/>
    <x v="1"/>
    <x v="2"/>
    <n v="5518"/>
    <x v="2"/>
    <x v="2"/>
    <x v="10"/>
    <n v="971"/>
    <n v="9710"/>
    <n v="6498.9"/>
    <n v="3211.1"/>
    <x v="2"/>
    <x v="2"/>
    <x v="2"/>
    <x v="743"/>
    <s v="Média"/>
  </r>
  <r>
    <n v="364"/>
    <x v="29"/>
    <x v="3"/>
    <x v="4"/>
    <x v="0"/>
    <n v="6185"/>
    <x v="2"/>
    <x v="0"/>
    <x v="15"/>
    <n v="1938"/>
    <n v="9690"/>
    <n v="6776"/>
    <n v="2914"/>
    <x v="1"/>
    <x v="0"/>
    <x v="3"/>
    <x v="744"/>
    <s v="Média"/>
  </r>
  <r>
    <n v="666"/>
    <x v="41"/>
    <x v="1"/>
    <x v="4"/>
    <x v="0"/>
    <n v="5091"/>
    <x v="0"/>
    <x v="2"/>
    <x v="10"/>
    <n v="969"/>
    <n v="9690"/>
    <n v="4788.05"/>
    <n v="4901.95"/>
    <x v="2"/>
    <x v="2"/>
    <x v="1"/>
    <x v="745"/>
    <s v="Alta"/>
  </r>
  <r>
    <n v="502"/>
    <x v="174"/>
    <x v="3"/>
    <x v="2"/>
    <x v="1"/>
    <n v="6186"/>
    <x v="2"/>
    <x v="0"/>
    <x v="7"/>
    <n v="734"/>
    <n v="9542"/>
    <n v="7187.52"/>
    <n v="2354.48"/>
    <x v="1"/>
    <x v="2"/>
    <x v="2"/>
    <x v="746"/>
    <s v="Média"/>
  </r>
  <r>
    <n v="667"/>
    <x v="5"/>
    <x v="1"/>
    <x v="3"/>
    <x v="3"/>
    <n v="8658"/>
    <x v="1"/>
    <x v="4"/>
    <x v="17"/>
    <n v="3174"/>
    <n v="9522"/>
    <n v="5145.0200000000004"/>
    <n v="4376.9799999999996"/>
    <x v="1"/>
    <x v="1"/>
    <x v="1"/>
    <x v="747"/>
    <s v="Alta"/>
  </r>
  <r>
    <n v="44"/>
    <x v="148"/>
    <x v="3"/>
    <x v="0"/>
    <x v="2"/>
    <n v="2167"/>
    <x v="0"/>
    <x v="0"/>
    <x v="17"/>
    <n v="3161"/>
    <n v="9483"/>
    <n v="6486.65"/>
    <n v="2996.35"/>
    <x v="1"/>
    <x v="0"/>
    <x v="2"/>
    <x v="748"/>
    <s v="Média"/>
  </r>
  <r>
    <n v="463"/>
    <x v="0"/>
    <x v="3"/>
    <x v="3"/>
    <x v="0"/>
    <n v="2156"/>
    <x v="2"/>
    <x v="2"/>
    <x v="17"/>
    <n v="3148"/>
    <n v="9444"/>
    <n v="4678.1400000000003"/>
    <n v="4765.8599999999997"/>
    <x v="0"/>
    <x v="0"/>
    <x v="1"/>
    <x v="749"/>
    <s v="Alta"/>
  </r>
  <r>
    <n v="230"/>
    <x v="62"/>
    <x v="2"/>
    <x v="1"/>
    <x v="2"/>
    <n v="9931"/>
    <x v="1"/>
    <x v="0"/>
    <x v="12"/>
    <n v="1169"/>
    <n v="9352"/>
    <n v="5907.59"/>
    <n v="3444.41"/>
    <x v="2"/>
    <x v="0"/>
    <x v="3"/>
    <x v="750"/>
    <s v="Média"/>
  </r>
  <r>
    <n v="73"/>
    <x v="162"/>
    <x v="1"/>
    <x v="1"/>
    <x v="2"/>
    <n v="6709"/>
    <x v="0"/>
    <x v="2"/>
    <x v="8"/>
    <n v="777"/>
    <n v="9324"/>
    <n v="7375.84"/>
    <n v="1948.16"/>
    <x v="0"/>
    <x v="1"/>
    <x v="3"/>
    <x v="751"/>
    <s v="Média"/>
  </r>
  <r>
    <n v="980"/>
    <x v="98"/>
    <x v="1"/>
    <x v="1"/>
    <x v="1"/>
    <n v="8176"/>
    <x v="1"/>
    <x v="1"/>
    <x v="5"/>
    <n v="619"/>
    <n v="9285"/>
    <n v="6410.85"/>
    <n v="2874.15"/>
    <x v="2"/>
    <x v="0"/>
    <x v="2"/>
    <x v="752"/>
    <s v="Média"/>
  </r>
  <r>
    <n v="130"/>
    <x v="150"/>
    <x v="1"/>
    <x v="4"/>
    <x v="3"/>
    <n v="9718"/>
    <x v="0"/>
    <x v="0"/>
    <x v="11"/>
    <n v="1030"/>
    <n v="9270"/>
    <n v="6106.9"/>
    <n v="3163.1"/>
    <x v="0"/>
    <x v="1"/>
    <x v="1"/>
    <x v="753"/>
    <s v="Média"/>
  </r>
  <r>
    <n v="448"/>
    <x v="20"/>
    <x v="0"/>
    <x v="0"/>
    <x v="3"/>
    <n v="9242"/>
    <x v="1"/>
    <x v="3"/>
    <x v="18"/>
    <n v="4633"/>
    <n v="9266"/>
    <n v="3750.56"/>
    <n v="5515.44"/>
    <x v="1"/>
    <x v="2"/>
    <x v="1"/>
    <x v="754"/>
    <s v="Alta"/>
  </r>
  <r>
    <n v="265"/>
    <x v="174"/>
    <x v="2"/>
    <x v="3"/>
    <x v="0"/>
    <n v="3405"/>
    <x v="2"/>
    <x v="2"/>
    <x v="17"/>
    <n v="3077"/>
    <n v="9231"/>
    <n v="4283.82"/>
    <n v="4947.18"/>
    <x v="2"/>
    <x v="2"/>
    <x v="2"/>
    <x v="755"/>
    <s v="Alta"/>
  </r>
  <r>
    <n v="452"/>
    <x v="118"/>
    <x v="2"/>
    <x v="1"/>
    <x v="1"/>
    <n v="6227"/>
    <x v="0"/>
    <x v="3"/>
    <x v="9"/>
    <n v="828"/>
    <n v="9108"/>
    <n v="5793.52"/>
    <n v="3314.48"/>
    <x v="1"/>
    <x v="1"/>
    <x v="2"/>
    <x v="756"/>
    <s v="Média"/>
  </r>
  <r>
    <n v="284"/>
    <x v="127"/>
    <x v="2"/>
    <x v="2"/>
    <x v="3"/>
    <n v="1118"/>
    <x v="1"/>
    <x v="4"/>
    <x v="4"/>
    <n v="567"/>
    <n v="9072"/>
    <n v="5203.57"/>
    <n v="3868.43"/>
    <x v="1"/>
    <x v="0"/>
    <x v="0"/>
    <x v="757"/>
    <s v="Alta"/>
  </r>
  <r>
    <n v="894"/>
    <x v="100"/>
    <x v="2"/>
    <x v="3"/>
    <x v="0"/>
    <n v="4880"/>
    <x v="2"/>
    <x v="0"/>
    <x v="2"/>
    <n v="503"/>
    <n v="9054"/>
    <n v="4300.3999999999996"/>
    <n v="4753.6000000000004"/>
    <x v="1"/>
    <x v="0"/>
    <x v="4"/>
    <x v="758"/>
    <s v="Alta"/>
  </r>
  <r>
    <n v="602"/>
    <x v="92"/>
    <x v="1"/>
    <x v="4"/>
    <x v="2"/>
    <n v="6665"/>
    <x v="2"/>
    <x v="2"/>
    <x v="16"/>
    <n v="2259"/>
    <n v="9036"/>
    <n v="5233.88"/>
    <n v="3802.12"/>
    <x v="0"/>
    <x v="0"/>
    <x v="0"/>
    <x v="759"/>
    <s v="Alta"/>
  </r>
  <r>
    <n v="778"/>
    <x v="36"/>
    <x v="2"/>
    <x v="4"/>
    <x v="2"/>
    <n v="8980"/>
    <x v="1"/>
    <x v="3"/>
    <x v="18"/>
    <n v="4496"/>
    <n v="8992"/>
    <n v="5806.83"/>
    <n v="3185.17"/>
    <x v="0"/>
    <x v="2"/>
    <x v="1"/>
    <x v="760"/>
    <s v="Média"/>
  </r>
  <r>
    <n v="270"/>
    <x v="147"/>
    <x v="0"/>
    <x v="0"/>
    <x v="3"/>
    <n v="7886"/>
    <x v="2"/>
    <x v="2"/>
    <x v="0"/>
    <n v="448"/>
    <n v="8960"/>
    <n v="3921.95"/>
    <n v="5038.05"/>
    <x v="1"/>
    <x v="1"/>
    <x v="3"/>
    <x v="761"/>
    <s v="Alta"/>
  </r>
  <r>
    <n v="759"/>
    <x v="151"/>
    <x v="1"/>
    <x v="4"/>
    <x v="1"/>
    <n v="6626"/>
    <x v="1"/>
    <x v="4"/>
    <x v="17"/>
    <n v="2985"/>
    <n v="8955"/>
    <n v="6466.49"/>
    <n v="2488.5100000000002"/>
    <x v="2"/>
    <x v="0"/>
    <x v="4"/>
    <x v="762"/>
    <s v="Média"/>
  </r>
  <r>
    <n v="129"/>
    <x v="106"/>
    <x v="0"/>
    <x v="1"/>
    <x v="2"/>
    <n v="6479"/>
    <x v="0"/>
    <x v="0"/>
    <x v="16"/>
    <n v="2236"/>
    <n v="8944"/>
    <n v="5441.14"/>
    <n v="3502.86"/>
    <x v="2"/>
    <x v="1"/>
    <x v="2"/>
    <x v="763"/>
    <s v="Média"/>
  </r>
  <r>
    <n v="998"/>
    <x v="97"/>
    <x v="3"/>
    <x v="3"/>
    <x v="3"/>
    <n v="2471"/>
    <x v="1"/>
    <x v="4"/>
    <x v="15"/>
    <n v="1788"/>
    <n v="8940"/>
    <n v="6336.62"/>
    <n v="2603.38"/>
    <x v="0"/>
    <x v="1"/>
    <x v="4"/>
    <x v="764"/>
    <s v="Média"/>
  </r>
  <r>
    <n v="978"/>
    <x v="145"/>
    <x v="3"/>
    <x v="2"/>
    <x v="2"/>
    <n v="5205"/>
    <x v="1"/>
    <x v="2"/>
    <x v="17"/>
    <n v="2965"/>
    <n v="8895"/>
    <n v="4120.8"/>
    <n v="4774.2"/>
    <x v="0"/>
    <x v="2"/>
    <x v="3"/>
    <x v="765"/>
    <s v="Alta"/>
  </r>
  <r>
    <n v="736"/>
    <x v="81"/>
    <x v="1"/>
    <x v="4"/>
    <x v="0"/>
    <n v="5104"/>
    <x v="0"/>
    <x v="2"/>
    <x v="17"/>
    <n v="2949"/>
    <n v="8847"/>
    <n v="4075.57"/>
    <n v="4771.43"/>
    <x v="1"/>
    <x v="0"/>
    <x v="1"/>
    <x v="766"/>
    <s v="Alta"/>
  </r>
  <r>
    <n v="49"/>
    <x v="68"/>
    <x v="3"/>
    <x v="2"/>
    <x v="3"/>
    <n v="6488"/>
    <x v="2"/>
    <x v="4"/>
    <x v="12"/>
    <n v="1096"/>
    <n v="8768"/>
    <n v="7006.73"/>
    <n v="1761.27"/>
    <x v="0"/>
    <x v="1"/>
    <x v="0"/>
    <x v="767"/>
    <s v="Média"/>
  </r>
  <r>
    <n v="608"/>
    <x v="56"/>
    <x v="2"/>
    <x v="4"/>
    <x v="1"/>
    <n v="7376"/>
    <x v="2"/>
    <x v="0"/>
    <x v="13"/>
    <n v="1246"/>
    <n v="8722"/>
    <n v="4094.1"/>
    <n v="4627.8999999999996"/>
    <x v="0"/>
    <x v="1"/>
    <x v="2"/>
    <x v="768"/>
    <s v="Alta"/>
  </r>
  <r>
    <n v="231"/>
    <x v="77"/>
    <x v="2"/>
    <x v="4"/>
    <x v="0"/>
    <n v="7354"/>
    <x v="0"/>
    <x v="0"/>
    <x v="18"/>
    <n v="4359"/>
    <n v="8718"/>
    <n v="6395.62"/>
    <n v="2322.38"/>
    <x v="1"/>
    <x v="0"/>
    <x v="1"/>
    <x v="769"/>
    <s v="Média"/>
  </r>
  <r>
    <n v="927"/>
    <x v="139"/>
    <x v="1"/>
    <x v="4"/>
    <x v="1"/>
    <n v="7639"/>
    <x v="0"/>
    <x v="4"/>
    <x v="18"/>
    <n v="4349"/>
    <n v="8698"/>
    <n v="4255.17"/>
    <n v="4442.83"/>
    <x v="1"/>
    <x v="0"/>
    <x v="3"/>
    <x v="770"/>
    <s v="Alta"/>
  </r>
  <r>
    <n v="60"/>
    <x v="43"/>
    <x v="3"/>
    <x v="2"/>
    <x v="2"/>
    <n v="5688"/>
    <x v="1"/>
    <x v="4"/>
    <x v="0"/>
    <n v="433"/>
    <n v="8660"/>
    <n v="5830.19"/>
    <n v="2829.81"/>
    <x v="2"/>
    <x v="0"/>
    <x v="2"/>
    <x v="771"/>
    <s v="Média"/>
  </r>
  <r>
    <n v="66"/>
    <x v="42"/>
    <x v="2"/>
    <x v="3"/>
    <x v="1"/>
    <n v="7790"/>
    <x v="2"/>
    <x v="1"/>
    <x v="14"/>
    <n v="1442"/>
    <n v="8652"/>
    <n v="6528.68"/>
    <n v="2123.3200000000002"/>
    <x v="2"/>
    <x v="1"/>
    <x v="1"/>
    <x v="772"/>
    <s v="Média"/>
  </r>
  <r>
    <n v="1"/>
    <x v="4"/>
    <x v="2"/>
    <x v="0"/>
    <x v="2"/>
    <n v="4106"/>
    <x v="2"/>
    <x v="1"/>
    <x v="17"/>
    <n v="2872"/>
    <n v="8616"/>
    <n v="5053.9799999999996"/>
    <n v="3562.02"/>
    <x v="0"/>
    <x v="1"/>
    <x v="2"/>
    <x v="773"/>
    <s v="Alta"/>
  </r>
  <r>
    <n v="635"/>
    <x v="55"/>
    <x v="3"/>
    <x v="1"/>
    <x v="0"/>
    <n v="7024"/>
    <x v="0"/>
    <x v="2"/>
    <x v="17"/>
    <n v="2860"/>
    <n v="8580"/>
    <n v="4473.4399999999996"/>
    <n v="4106.5600000000004"/>
    <x v="2"/>
    <x v="1"/>
    <x v="3"/>
    <x v="774"/>
    <s v="Alta"/>
  </r>
  <r>
    <n v="69"/>
    <x v="56"/>
    <x v="3"/>
    <x v="1"/>
    <x v="2"/>
    <n v="3875"/>
    <x v="1"/>
    <x v="2"/>
    <x v="8"/>
    <n v="713"/>
    <n v="8556"/>
    <n v="6778.13"/>
    <n v="1777.87"/>
    <x v="1"/>
    <x v="2"/>
    <x v="3"/>
    <x v="775"/>
    <s v="Média"/>
  </r>
  <r>
    <n v="306"/>
    <x v="174"/>
    <x v="0"/>
    <x v="1"/>
    <x v="0"/>
    <n v="3625"/>
    <x v="0"/>
    <x v="2"/>
    <x v="7"/>
    <n v="657"/>
    <n v="8541"/>
    <n v="3967.62"/>
    <n v="4573.38"/>
    <x v="1"/>
    <x v="0"/>
    <x v="4"/>
    <x v="776"/>
    <s v="Alta"/>
  </r>
  <r>
    <n v="760"/>
    <x v="160"/>
    <x v="1"/>
    <x v="3"/>
    <x v="0"/>
    <n v="2277"/>
    <x v="1"/>
    <x v="3"/>
    <x v="14"/>
    <n v="1417"/>
    <n v="8502"/>
    <n v="3651.79"/>
    <n v="4850.21"/>
    <x v="1"/>
    <x v="2"/>
    <x v="3"/>
    <x v="777"/>
    <s v="Alta"/>
  </r>
  <r>
    <n v="6"/>
    <x v="92"/>
    <x v="2"/>
    <x v="3"/>
    <x v="0"/>
    <n v="7564"/>
    <x v="1"/>
    <x v="3"/>
    <x v="14"/>
    <n v="1412"/>
    <n v="8472"/>
    <n v="6218.1"/>
    <n v="2253.9"/>
    <x v="2"/>
    <x v="1"/>
    <x v="4"/>
    <x v="778"/>
    <s v="Média"/>
  </r>
  <r>
    <n v="346"/>
    <x v="144"/>
    <x v="1"/>
    <x v="2"/>
    <x v="0"/>
    <n v="3201"/>
    <x v="0"/>
    <x v="1"/>
    <x v="13"/>
    <n v="1200"/>
    <n v="8400"/>
    <n v="5202.1899999999996"/>
    <n v="3197.81"/>
    <x v="2"/>
    <x v="0"/>
    <x v="2"/>
    <x v="779"/>
    <s v="Média"/>
  </r>
  <r>
    <n v="329"/>
    <x v="5"/>
    <x v="3"/>
    <x v="3"/>
    <x v="0"/>
    <n v="4515"/>
    <x v="2"/>
    <x v="0"/>
    <x v="8"/>
    <n v="694"/>
    <n v="8328"/>
    <n v="5371.88"/>
    <n v="2956.12"/>
    <x v="0"/>
    <x v="0"/>
    <x v="0"/>
    <x v="780"/>
    <s v="Média"/>
  </r>
  <r>
    <n v="954"/>
    <x v="162"/>
    <x v="1"/>
    <x v="1"/>
    <x v="1"/>
    <n v="9347"/>
    <x v="2"/>
    <x v="2"/>
    <x v="17"/>
    <n v="2775"/>
    <n v="8325"/>
    <n v="5038.83"/>
    <n v="3286.17"/>
    <x v="1"/>
    <x v="1"/>
    <x v="1"/>
    <x v="781"/>
    <s v="Média"/>
  </r>
  <r>
    <n v="589"/>
    <x v="101"/>
    <x v="1"/>
    <x v="1"/>
    <x v="2"/>
    <n v="7401"/>
    <x v="0"/>
    <x v="3"/>
    <x v="10"/>
    <n v="829"/>
    <n v="8290"/>
    <n v="4396.3500000000004"/>
    <n v="3893.65"/>
    <x v="0"/>
    <x v="0"/>
    <x v="0"/>
    <x v="782"/>
    <s v="Alta"/>
  </r>
  <r>
    <n v="775"/>
    <x v="161"/>
    <x v="2"/>
    <x v="0"/>
    <x v="3"/>
    <n v="4421"/>
    <x v="0"/>
    <x v="0"/>
    <x v="16"/>
    <n v="2066"/>
    <n v="8264"/>
    <n v="5144.8999999999996"/>
    <n v="3119.1"/>
    <x v="0"/>
    <x v="1"/>
    <x v="1"/>
    <x v="783"/>
    <s v="Média"/>
  </r>
  <r>
    <n v="470"/>
    <x v="89"/>
    <x v="3"/>
    <x v="0"/>
    <x v="3"/>
    <n v="4686"/>
    <x v="2"/>
    <x v="1"/>
    <x v="11"/>
    <n v="913"/>
    <n v="8217"/>
    <n v="6089.16"/>
    <n v="2127.84"/>
    <x v="0"/>
    <x v="1"/>
    <x v="1"/>
    <x v="784"/>
    <s v="Média"/>
  </r>
  <r>
    <n v="933"/>
    <x v="25"/>
    <x v="0"/>
    <x v="3"/>
    <x v="0"/>
    <n v="1400"/>
    <x v="0"/>
    <x v="1"/>
    <x v="17"/>
    <n v="2737"/>
    <n v="8211"/>
    <n v="5929.47"/>
    <n v="2281.5300000000002"/>
    <x v="2"/>
    <x v="1"/>
    <x v="3"/>
    <x v="785"/>
    <s v="Média"/>
  </r>
  <r>
    <n v="858"/>
    <x v="169"/>
    <x v="3"/>
    <x v="0"/>
    <x v="3"/>
    <n v="4920"/>
    <x v="1"/>
    <x v="0"/>
    <x v="15"/>
    <n v="1637"/>
    <n v="8185"/>
    <n v="4581.99"/>
    <n v="3603.01"/>
    <x v="1"/>
    <x v="1"/>
    <x v="2"/>
    <x v="786"/>
    <s v="Alta"/>
  </r>
  <r>
    <n v="990"/>
    <x v="83"/>
    <x v="3"/>
    <x v="3"/>
    <x v="3"/>
    <n v="9691"/>
    <x v="0"/>
    <x v="3"/>
    <x v="18"/>
    <n v="4076"/>
    <n v="8152"/>
    <n v="3696.37"/>
    <n v="4455.63"/>
    <x v="0"/>
    <x v="2"/>
    <x v="0"/>
    <x v="787"/>
    <s v="Alta"/>
  </r>
  <r>
    <n v="83"/>
    <x v="165"/>
    <x v="1"/>
    <x v="4"/>
    <x v="1"/>
    <n v="2565"/>
    <x v="0"/>
    <x v="2"/>
    <x v="16"/>
    <n v="2021"/>
    <n v="8084"/>
    <n v="3806.82"/>
    <n v="4277.18"/>
    <x v="1"/>
    <x v="2"/>
    <x v="4"/>
    <x v="788"/>
    <s v="Alta"/>
  </r>
  <r>
    <n v="275"/>
    <x v="112"/>
    <x v="1"/>
    <x v="0"/>
    <x v="1"/>
    <n v="6545"/>
    <x v="0"/>
    <x v="1"/>
    <x v="16"/>
    <n v="2003"/>
    <n v="8012"/>
    <n v="5726.85"/>
    <n v="2285.15"/>
    <x v="0"/>
    <x v="1"/>
    <x v="1"/>
    <x v="789"/>
    <s v="Média"/>
  </r>
  <r>
    <n v="301"/>
    <x v="100"/>
    <x v="2"/>
    <x v="3"/>
    <x v="3"/>
    <n v="8489"/>
    <x v="2"/>
    <x v="0"/>
    <x v="10"/>
    <n v="801"/>
    <n v="8010"/>
    <n v="5021.3"/>
    <n v="2988.7"/>
    <x v="0"/>
    <x v="1"/>
    <x v="0"/>
    <x v="790"/>
    <s v="Média"/>
  </r>
  <r>
    <n v="381"/>
    <x v="44"/>
    <x v="3"/>
    <x v="3"/>
    <x v="0"/>
    <n v="1953"/>
    <x v="0"/>
    <x v="3"/>
    <x v="0"/>
    <n v="399"/>
    <n v="7980"/>
    <n v="3970.55"/>
    <n v="4009.45"/>
    <x v="1"/>
    <x v="0"/>
    <x v="2"/>
    <x v="791"/>
    <s v="Alta"/>
  </r>
  <r>
    <n v="886"/>
    <x v="60"/>
    <x v="0"/>
    <x v="0"/>
    <x v="2"/>
    <n v="7118"/>
    <x v="2"/>
    <x v="2"/>
    <x v="11"/>
    <n v="886"/>
    <n v="7974"/>
    <n v="3228.97"/>
    <n v="4745.03"/>
    <x v="2"/>
    <x v="1"/>
    <x v="2"/>
    <x v="792"/>
    <s v="Alta"/>
  </r>
  <r>
    <n v="191"/>
    <x v="118"/>
    <x v="2"/>
    <x v="4"/>
    <x v="3"/>
    <n v="1704"/>
    <x v="2"/>
    <x v="4"/>
    <x v="18"/>
    <n v="3978"/>
    <n v="7956"/>
    <n v="5137.22"/>
    <n v="2818.78"/>
    <x v="2"/>
    <x v="0"/>
    <x v="4"/>
    <x v="793"/>
    <s v="Média"/>
  </r>
  <r>
    <n v="716"/>
    <x v="16"/>
    <x v="1"/>
    <x v="4"/>
    <x v="0"/>
    <n v="8090"/>
    <x v="0"/>
    <x v="1"/>
    <x v="13"/>
    <n v="1136"/>
    <n v="7952"/>
    <n v="5887.29"/>
    <n v="2064.71"/>
    <x v="1"/>
    <x v="0"/>
    <x v="2"/>
    <x v="794"/>
    <s v="Média"/>
  </r>
  <r>
    <n v="333"/>
    <x v="35"/>
    <x v="2"/>
    <x v="2"/>
    <x v="3"/>
    <n v="8383"/>
    <x v="1"/>
    <x v="2"/>
    <x v="16"/>
    <n v="1975"/>
    <n v="7900"/>
    <n v="5917.51"/>
    <n v="1982.49"/>
    <x v="0"/>
    <x v="2"/>
    <x v="3"/>
    <x v="795"/>
    <s v="Média"/>
  </r>
  <r>
    <n v="790"/>
    <x v="75"/>
    <x v="3"/>
    <x v="3"/>
    <x v="1"/>
    <n v="2135"/>
    <x v="2"/>
    <x v="4"/>
    <x v="9"/>
    <n v="711"/>
    <n v="7821"/>
    <n v="5233.04"/>
    <n v="2587.96"/>
    <x v="2"/>
    <x v="1"/>
    <x v="0"/>
    <x v="796"/>
    <s v="Média"/>
  </r>
  <r>
    <n v="288"/>
    <x v="106"/>
    <x v="2"/>
    <x v="0"/>
    <x v="1"/>
    <n v="6344"/>
    <x v="2"/>
    <x v="2"/>
    <x v="11"/>
    <n v="867"/>
    <n v="7803"/>
    <n v="5550.68"/>
    <n v="2252.3200000000002"/>
    <x v="1"/>
    <x v="1"/>
    <x v="3"/>
    <x v="797"/>
    <s v="Média"/>
  </r>
  <r>
    <n v="827"/>
    <x v="77"/>
    <x v="2"/>
    <x v="4"/>
    <x v="2"/>
    <n v="6487"/>
    <x v="2"/>
    <x v="3"/>
    <x v="17"/>
    <n v="2586"/>
    <n v="7758"/>
    <n v="3649.95"/>
    <n v="4108.05"/>
    <x v="2"/>
    <x v="1"/>
    <x v="2"/>
    <x v="798"/>
    <s v="Alta"/>
  </r>
  <r>
    <n v="792"/>
    <x v="85"/>
    <x v="1"/>
    <x v="1"/>
    <x v="2"/>
    <n v="2049"/>
    <x v="0"/>
    <x v="3"/>
    <x v="13"/>
    <n v="1107"/>
    <n v="7749"/>
    <n v="3382.84"/>
    <n v="4366.16"/>
    <x v="0"/>
    <x v="2"/>
    <x v="4"/>
    <x v="799"/>
    <s v="Alta"/>
  </r>
  <r>
    <n v="59"/>
    <x v="70"/>
    <x v="2"/>
    <x v="0"/>
    <x v="0"/>
    <n v="4138"/>
    <x v="0"/>
    <x v="0"/>
    <x v="14"/>
    <n v="1287"/>
    <n v="7722"/>
    <n v="4789.7299999999996"/>
    <n v="2932.27"/>
    <x v="0"/>
    <x v="0"/>
    <x v="3"/>
    <x v="800"/>
    <s v="Média"/>
  </r>
  <r>
    <n v="124"/>
    <x v="33"/>
    <x v="1"/>
    <x v="4"/>
    <x v="3"/>
    <n v="6889"/>
    <x v="0"/>
    <x v="1"/>
    <x v="17"/>
    <n v="2564"/>
    <n v="7692"/>
    <n v="5999.93"/>
    <n v="1692.07"/>
    <x v="1"/>
    <x v="0"/>
    <x v="1"/>
    <x v="801"/>
    <s v="Média"/>
  </r>
  <r>
    <n v="345"/>
    <x v="144"/>
    <x v="3"/>
    <x v="0"/>
    <x v="1"/>
    <n v="1197"/>
    <x v="1"/>
    <x v="0"/>
    <x v="0"/>
    <n v="376"/>
    <n v="7520"/>
    <n v="5014.78"/>
    <n v="2505.2199999999998"/>
    <x v="2"/>
    <x v="0"/>
    <x v="1"/>
    <x v="802"/>
    <s v="Média"/>
  </r>
  <r>
    <n v="341"/>
    <x v="20"/>
    <x v="3"/>
    <x v="2"/>
    <x v="2"/>
    <n v="5722"/>
    <x v="0"/>
    <x v="1"/>
    <x v="13"/>
    <n v="1069"/>
    <n v="7483"/>
    <n v="5761.5"/>
    <n v="1721.5"/>
    <x v="0"/>
    <x v="0"/>
    <x v="1"/>
    <x v="803"/>
    <s v="Média"/>
  </r>
  <r>
    <n v="426"/>
    <x v="2"/>
    <x v="2"/>
    <x v="2"/>
    <x v="1"/>
    <n v="4978"/>
    <x v="2"/>
    <x v="2"/>
    <x v="18"/>
    <n v="3735"/>
    <n v="7470"/>
    <n v="3854.45"/>
    <n v="3615.55"/>
    <x v="2"/>
    <x v="0"/>
    <x v="2"/>
    <x v="804"/>
    <s v="Alta"/>
  </r>
  <r>
    <n v="705"/>
    <x v="4"/>
    <x v="2"/>
    <x v="4"/>
    <x v="1"/>
    <n v="2327"/>
    <x v="1"/>
    <x v="3"/>
    <x v="18"/>
    <n v="3705"/>
    <n v="7410"/>
    <n v="4515.2"/>
    <n v="2894.8"/>
    <x v="1"/>
    <x v="1"/>
    <x v="4"/>
    <x v="805"/>
    <s v="Média"/>
  </r>
  <r>
    <n v="441"/>
    <x v="65"/>
    <x v="3"/>
    <x v="0"/>
    <x v="3"/>
    <n v="8336"/>
    <x v="1"/>
    <x v="2"/>
    <x v="18"/>
    <n v="3685"/>
    <n v="7370"/>
    <n v="5895.21"/>
    <n v="1474.79"/>
    <x v="2"/>
    <x v="1"/>
    <x v="4"/>
    <x v="806"/>
    <s v="Média"/>
  </r>
  <r>
    <n v="674"/>
    <x v="149"/>
    <x v="1"/>
    <x v="1"/>
    <x v="3"/>
    <n v="9531"/>
    <x v="1"/>
    <x v="2"/>
    <x v="8"/>
    <n v="613"/>
    <n v="7356"/>
    <n v="5511.08"/>
    <n v="1844.92"/>
    <x v="1"/>
    <x v="2"/>
    <x v="3"/>
    <x v="807"/>
    <s v="Média"/>
  </r>
  <r>
    <n v="913"/>
    <x v="43"/>
    <x v="1"/>
    <x v="4"/>
    <x v="1"/>
    <n v="4767"/>
    <x v="2"/>
    <x v="1"/>
    <x v="11"/>
    <n v="816"/>
    <n v="7344"/>
    <n v="4687.63"/>
    <n v="2656.37"/>
    <x v="0"/>
    <x v="1"/>
    <x v="1"/>
    <x v="808"/>
    <s v="Média"/>
  </r>
  <r>
    <n v="777"/>
    <x v="84"/>
    <x v="2"/>
    <x v="3"/>
    <x v="3"/>
    <n v="7486"/>
    <x v="1"/>
    <x v="0"/>
    <x v="17"/>
    <n v="2423"/>
    <n v="7269"/>
    <n v="4226.5600000000004"/>
    <n v="3042.44"/>
    <x v="1"/>
    <x v="0"/>
    <x v="0"/>
    <x v="809"/>
    <s v="Alta"/>
  </r>
  <r>
    <n v="271"/>
    <x v="122"/>
    <x v="3"/>
    <x v="0"/>
    <x v="2"/>
    <n v="8644"/>
    <x v="0"/>
    <x v="3"/>
    <x v="18"/>
    <n v="3631"/>
    <n v="7262"/>
    <n v="4313.75"/>
    <n v="2948.25"/>
    <x v="2"/>
    <x v="1"/>
    <x v="2"/>
    <x v="810"/>
    <s v="Alta"/>
  </r>
  <r>
    <n v="970"/>
    <x v="120"/>
    <x v="0"/>
    <x v="1"/>
    <x v="0"/>
    <n v="3682"/>
    <x v="1"/>
    <x v="4"/>
    <x v="11"/>
    <n v="798"/>
    <n v="7182"/>
    <n v="4329.03"/>
    <n v="2852.97"/>
    <x v="1"/>
    <x v="1"/>
    <x v="2"/>
    <x v="811"/>
    <s v="Média"/>
  </r>
  <r>
    <n v="702"/>
    <x v="87"/>
    <x v="1"/>
    <x v="4"/>
    <x v="1"/>
    <n v="2451"/>
    <x v="2"/>
    <x v="0"/>
    <x v="18"/>
    <n v="3590"/>
    <n v="7180"/>
    <n v="3146.57"/>
    <n v="4033.43"/>
    <x v="1"/>
    <x v="1"/>
    <x v="2"/>
    <x v="812"/>
    <s v="Alta"/>
  </r>
  <r>
    <n v="928"/>
    <x v="12"/>
    <x v="1"/>
    <x v="2"/>
    <x v="0"/>
    <n v="9052"/>
    <x v="2"/>
    <x v="4"/>
    <x v="14"/>
    <n v="1186"/>
    <n v="7116"/>
    <n v="5537.04"/>
    <n v="1578.96"/>
    <x v="1"/>
    <x v="0"/>
    <x v="2"/>
    <x v="813"/>
    <s v="Média"/>
  </r>
  <r>
    <n v="706"/>
    <x v="63"/>
    <x v="0"/>
    <x v="1"/>
    <x v="0"/>
    <n v="8106"/>
    <x v="1"/>
    <x v="2"/>
    <x v="18"/>
    <n v="3547"/>
    <n v="7094"/>
    <n v="5037.51"/>
    <n v="2056.4899999999998"/>
    <x v="2"/>
    <x v="1"/>
    <x v="4"/>
    <x v="814"/>
    <s v="Média"/>
  </r>
  <r>
    <n v="813"/>
    <x v="39"/>
    <x v="3"/>
    <x v="3"/>
    <x v="2"/>
    <n v="8416"/>
    <x v="0"/>
    <x v="0"/>
    <x v="18"/>
    <n v="3540"/>
    <n v="7080"/>
    <n v="3944.87"/>
    <n v="3135.13"/>
    <x v="0"/>
    <x v="2"/>
    <x v="1"/>
    <x v="815"/>
    <s v="Alta"/>
  </r>
  <r>
    <n v="342"/>
    <x v="143"/>
    <x v="0"/>
    <x v="0"/>
    <x v="0"/>
    <n v="6757"/>
    <x v="0"/>
    <x v="2"/>
    <x v="15"/>
    <n v="1413"/>
    <n v="7065"/>
    <n v="4561.12"/>
    <n v="2503.88"/>
    <x v="1"/>
    <x v="1"/>
    <x v="4"/>
    <x v="816"/>
    <s v="Média"/>
  </r>
  <r>
    <n v="820"/>
    <x v="34"/>
    <x v="1"/>
    <x v="0"/>
    <x v="2"/>
    <n v="1854"/>
    <x v="2"/>
    <x v="0"/>
    <x v="12"/>
    <n v="875"/>
    <n v="7000"/>
    <n v="5164.28"/>
    <n v="1835.72"/>
    <x v="2"/>
    <x v="1"/>
    <x v="0"/>
    <x v="817"/>
    <s v="Média"/>
  </r>
  <r>
    <n v="953"/>
    <x v="27"/>
    <x v="1"/>
    <x v="2"/>
    <x v="0"/>
    <n v="5071"/>
    <x v="0"/>
    <x v="3"/>
    <x v="2"/>
    <n v="386"/>
    <n v="6948"/>
    <n v="3528.99"/>
    <n v="3419.01"/>
    <x v="2"/>
    <x v="0"/>
    <x v="4"/>
    <x v="818"/>
    <s v="Alta"/>
  </r>
  <r>
    <n v="580"/>
    <x v="33"/>
    <x v="0"/>
    <x v="1"/>
    <x v="2"/>
    <n v="5977"/>
    <x v="2"/>
    <x v="3"/>
    <x v="12"/>
    <n v="862"/>
    <n v="6896"/>
    <n v="4276.8500000000004"/>
    <n v="2619.15"/>
    <x v="0"/>
    <x v="0"/>
    <x v="0"/>
    <x v="819"/>
    <s v="Média"/>
  </r>
  <r>
    <n v="41"/>
    <x v="28"/>
    <x v="1"/>
    <x v="4"/>
    <x v="3"/>
    <n v="4888"/>
    <x v="0"/>
    <x v="1"/>
    <x v="15"/>
    <n v="1371"/>
    <n v="6855"/>
    <n v="4646.3"/>
    <n v="2208.6999999999998"/>
    <x v="1"/>
    <x v="2"/>
    <x v="4"/>
    <x v="820"/>
    <s v="Média"/>
  </r>
  <r>
    <n v="614"/>
    <x v="4"/>
    <x v="0"/>
    <x v="4"/>
    <x v="0"/>
    <n v="8945"/>
    <x v="2"/>
    <x v="4"/>
    <x v="17"/>
    <n v="2253"/>
    <n v="6759"/>
    <n v="4565.6899999999996"/>
    <n v="2193.31"/>
    <x v="2"/>
    <x v="2"/>
    <x v="4"/>
    <x v="821"/>
    <s v="Média"/>
  </r>
  <r>
    <n v="43"/>
    <x v="42"/>
    <x v="1"/>
    <x v="4"/>
    <x v="2"/>
    <n v="7516"/>
    <x v="2"/>
    <x v="1"/>
    <x v="17"/>
    <n v="2234"/>
    <n v="6702"/>
    <n v="3990.54"/>
    <n v="2711.46"/>
    <x v="2"/>
    <x v="1"/>
    <x v="3"/>
    <x v="822"/>
    <s v="Alta"/>
  </r>
  <r>
    <n v="559"/>
    <x v="94"/>
    <x v="0"/>
    <x v="1"/>
    <x v="3"/>
    <n v="5062"/>
    <x v="1"/>
    <x v="2"/>
    <x v="18"/>
    <n v="3340"/>
    <n v="6680"/>
    <n v="4154.78"/>
    <n v="2525.2199999999998"/>
    <x v="0"/>
    <x v="0"/>
    <x v="4"/>
    <x v="823"/>
    <s v="Média"/>
  </r>
  <r>
    <n v="214"/>
    <x v="141"/>
    <x v="0"/>
    <x v="3"/>
    <x v="0"/>
    <n v="3151"/>
    <x v="2"/>
    <x v="2"/>
    <x v="17"/>
    <n v="2226"/>
    <n v="6678"/>
    <n v="3030.26"/>
    <n v="3647.74"/>
    <x v="0"/>
    <x v="1"/>
    <x v="3"/>
    <x v="824"/>
    <s v="Alta"/>
  </r>
  <r>
    <n v="379"/>
    <x v="26"/>
    <x v="1"/>
    <x v="2"/>
    <x v="0"/>
    <n v="2083"/>
    <x v="1"/>
    <x v="2"/>
    <x v="18"/>
    <n v="3315"/>
    <n v="6630"/>
    <n v="2971.38"/>
    <n v="3658.62"/>
    <x v="1"/>
    <x v="1"/>
    <x v="4"/>
    <x v="825"/>
    <s v="Alta"/>
  </r>
  <r>
    <n v="405"/>
    <x v="47"/>
    <x v="1"/>
    <x v="2"/>
    <x v="0"/>
    <n v="1881"/>
    <x v="0"/>
    <x v="1"/>
    <x v="5"/>
    <n v="439"/>
    <n v="6585"/>
    <n v="4787.78"/>
    <n v="1797.22"/>
    <x v="2"/>
    <x v="0"/>
    <x v="4"/>
    <x v="826"/>
    <s v="Média"/>
  </r>
  <r>
    <n v="914"/>
    <x v="151"/>
    <x v="3"/>
    <x v="3"/>
    <x v="1"/>
    <n v="9338"/>
    <x v="0"/>
    <x v="4"/>
    <x v="5"/>
    <n v="438"/>
    <n v="6570"/>
    <n v="4971.8999999999996"/>
    <n v="1598.1"/>
    <x v="0"/>
    <x v="2"/>
    <x v="1"/>
    <x v="827"/>
    <s v="Média"/>
  </r>
  <r>
    <n v="467"/>
    <x v="170"/>
    <x v="2"/>
    <x v="3"/>
    <x v="0"/>
    <n v="4121"/>
    <x v="2"/>
    <x v="0"/>
    <x v="6"/>
    <n v="467"/>
    <n v="6538"/>
    <n v="2670.51"/>
    <n v="3867.49"/>
    <x v="1"/>
    <x v="0"/>
    <x v="3"/>
    <x v="828"/>
    <s v="Alta"/>
  </r>
  <r>
    <n v="785"/>
    <x v="46"/>
    <x v="3"/>
    <x v="2"/>
    <x v="0"/>
    <n v="7250"/>
    <x v="2"/>
    <x v="3"/>
    <x v="17"/>
    <n v="2140"/>
    <n v="6420"/>
    <n v="4544.75"/>
    <n v="1875.25"/>
    <x v="1"/>
    <x v="0"/>
    <x v="3"/>
    <x v="829"/>
    <s v="Média"/>
  </r>
  <r>
    <n v="85"/>
    <x v="113"/>
    <x v="1"/>
    <x v="0"/>
    <x v="0"/>
    <n v="6590"/>
    <x v="1"/>
    <x v="1"/>
    <x v="10"/>
    <n v="640"/>
    <n v="6400"/>
    <n v="4604.46"/>
    <n v="1795.54"/>
    <x v="0"/>
    <x v="0"/>
    <x v="2"/>
    <x v="830"/>
    <s v="Média"/>
  </r>
  <r>
    <n v="298"/>
    <x v="59"/>
    <x v="1"/>
    <x v="0"/>
    <x v="2"/>
    <n v="3436"/>
    <x v="1"/>
    <x v="0"/>
    <x v="16"/>
    <n v="1589"/>
    <n v="6356"/>
    <n v="4232.8"/>
    <n v="2123.1999999999998"/>
    <x v="1"/>
    <x v="0"/>
    <x v="2"/>
    <x v="831"/>
    <s v="Média"/>
  </r>
  <r>
    <n v="145"/>
    <x v="172"/>
    <x v="1"/>
    <x v="1"/>
    <x v="1"/>
    <n v="6445"/>
    <x v="2"/>
    <x v="4"/>
    <x v="17"/>
    <n v="2080"/>
    <n v="6240"/>
    <n v="3722.03"/>
    <n v="2517.9699999999998"/>
    <x v="0"/>
    <x v="0"/>
    <x v="3"/>
    <x v="832"/>
    <s v="Alta"/>
  </r>
  <r>
    <n v="20"/>
    <x v="10"/>
    <x v="0"/>
    <x v="3"/>
    <x v="1"/>
    <n v="6842"/>
    <x v="1"/>
    <x v="1"/>
    <x v="18"/>
    <n v="3077"/>
    <n v="6154"/>
    <n v="4301.83"/>
    <n v="1852.17"/>
    <x v="0"/>
    <x v="2"/>
    <x v="4"/>
    <x v="833"/>
    <s v="Média"/>
  </r>
  <r>
    <n v="613"/>
    <x v="129"/>
    <x v="1"/>
    <x v="2"/>
    <x v="3"/>
    <n v="6609"/>
    <x v="1"/>
    <x v="1"/>
    <x v="13"/>
    <n v="862"/>
    <n v="6034"/>
    <n v="4367.51"/>
    <n v="1666.49"/>
    <x v="0"/>
    <x v="0"/>
    <x v="1"/>
    <x v="834"/>
    <s v="Média"/>
  </r>
  <r>
    <n v="428"/>
    <x v="123"/>
    <x v="2"/>
    <x v="4"/>
    <x v="0"/>
    <n v="5952"/>
    <x v="1"/>
    <x v="1"/>
    <x v="13"/>
    <n v="850"/>
    <n v="5950"/>
    <n v="4168.16"/>
    <n v="1781.84"/>
    <x v="2"/>
    <x v="0"/>
    <x v="2"/>
    <x v="835"/>
    <s v="Média"/>
  </r>
  <r>
    <n v="438"/>
    <x v="120"/>
    <x v="3"/>
    <x v="3"/>
    <x v="2"/>
    <n v="9101"/>
    <x v="0"/>
    <x v="3"/>
    <x v="3"/>
    <n v="350"/>
    <n v="5950"/>
    <n v="4460.16"/>
    <n v="1489.84"/>
    <x v="2"/>
    <x v="1"/>
    <x v="3"/>
    <x v="836"/>
    <s v="Média"/>
  </r>
  <r>
    <n v="68"/>
    <x v="17"/>
    <x v="0"/>
    <x v="3"/>
    <x v="0"/>
    <n v="1540"/>
    <x v="0"/>
    <x v="4"/>
    <x v="13"/>
    <n v="834"/>
    <n v="5838"/>
    <n v="3933.21"/>
    <n v="1904.79"/>
    <x v="0"/>
    <x v="0"/>
    <x v="0"/>
    <x v="837"/>
    <s v="Média"/>
  </r>
  <r>
    <n v="868"/>
    <x v="19"/>
    <x v="0"/>
    <x v="3"/>
    <x v="2"/>
    <n v="4118"/>
    <x v="0"/>
    <x v="4"/>
    <x v="16"/>
    <n v="1443"/>
    <n v="5772"/>
    <n v="4536.18"/>
    <n v="1235.82"/>
    <x v="1"/>
    <x v="2"/>
    <x v="2"/>
    <x v="838"/>
    <s v="Média"/>
  </r>
  <r>
    <n v="447"/>
    <x v="173"/>
    <x v="1"/>
    <x v="1"/>
    <x v="2"/>
    <n v="1532"/>
    <x v="2"/>
    <x v="0"/>
    <x v="9"/>
    <n v="523"/>
    <n v="5753"/>
    <n v="2947.28"/>
    <n v="2805.72"/>
    <x v="1"/>
    <x v="0"/>
    <x v="0"/>
    <x v="839"/>
    <s v="Alta"/>
  </r>
  <r>
    <n v="571"/>
    <x v="105"/>
    <x v="2"/>
    <x v="4"/>
    <x v="2"/>
    <n v="6846"/>
    <x v="1"/>
    <x v="3"/>
    <x v="14"/>
    <n v="958"/>
    <n v="5748"/>
    <n v="2905.03"/>
    <n v="2842.97"/>
    <x v="0"/>
    <x v="1"/>
    <x v="0"/>
    <x v="840"/>
    <s v="Alta"/>
  </r>
  <r>
    <n v="211"/>
    <x v="41"/>
    <x v="2"/>
    <x v="2"/>
    <x v="3"/>
    <n v="5022"/>
    <x v="0"/>
    <x v="1"/>
    <x v="13"/>
    <n v="819"/>
    <n v="5733"/>
    <n v="3024.88"/>
    <n v="2708.12"/>
    <x v="2"/>
    <x v="1"/>
    <x v="0"/>
    <x v="841"/>
    <s v="Alta"/>
  </r>
  <r>
    <n v="86"/>
    <x v="142"/>
    <x v="0"/>
    <x v="0"/>
    <x v="0"/>
    <n v="7132"/>
    <x v="2"/>
    <x v="4"/>
    <x v="6"/>
    <n v="397"/>
    <n v="5558"/>
    <n v="2265.06"/>
    <n v="3292.94"/>
    <x v="2"/>
    <x v="0"/>
    <x v="1"/>
    <x v="842"/>
    <s v="Alta"/>
  </r>
  <r>
    <n v="671"/>
    <x v="6"/>
    <x v="0"/>
    <x v="0"/>
    <x v="0"/>
    <n v="9053"/>
    <x v="1"/>
    <x v="3"/>
    <x v="14"/>
    <n v="925"/>
    <n v="5550"/>
    <n v="4122.13"/>
    <n v="1427.87"/>
    <x v="2"/>
    <x v="1"/>
    <x v="4"/>
    <x v="843"/>
    <s v="Média"/>
  </r>
  <r>
    <n v="708"/>
    <x v="163"/>
    <x v="3"/>
    <x v="2"/>
    <x v="2"/>
    <n v="1099"/>
    <x v="0"/>
    <x v="4"/>
    <x v="9"/>
    <n v="496"/>
    <n v="5456"/>
    <n v="3111.11"/>
    <n v="2344.89"/>
    <x v="1"/>
    <x v="0"/>
    <x v="3"/>
    <x v="844"/>
    <s v="Alta"/>
  </r>
  <r>
    <n v="516"/>
    <x v="142"/>
    <x v="0"/>
    <x v="2"/>
    <x v="0"/>
    <n v="3098"/>
    <x v="1"/>
    <x v="0"/>
    <x v="12"/>
    <n v="678"/>
    <n v="5424"/>
    <n v="3796.95"/>
    <n v="1627.05"/>
    <x v="0"/>
    <x v="1"/>
    <x v="3"/>
    <x v="845"/>
    <s v="Média"/>
  </r>
  <r>
    <n v="14"/>
    <x v="70"/>
    <x v="0"/>
    <x v="4"/>
    <x v="0"/>
    <n v="8726"/>
    <x v="0"/>
    <x v="3"/>
    <x v="10"/>
    <n v="540"/>
    <n v="5400"/>
    <n v="3161.23"/>
    <n v="2238.77"/>
    <x v="0"/>
    <x v="1"/>
    <x v="3"/>
    <x v="846"/>
    <s v="Alta"/>
  </r>
  <r>
    <n v="372"/>
    <x v="71"/>
    <x v="0"/>
    <x v="1"/>
    <x v="1"/>
    <n v="9909"/>
    <x v="1"/>
    <x v="1"/>
    <x v="2"/>
    <n v="300"/>
    <n v="5400"/>
    <n v="4005.19"/>
    <n v="1394.81"/>
    <x v="0"/>
    <x v="2"/>
    <x v="1"/>
    <x v="847"/>
    <s v="Média"/>
  </r>
  <r>
    <n v="743"/>
    <x v="32"/>
    <x v="3"/>
    <x v="3"/>
    <x v="2"/>
    <n v="7141"/>
    <x v="1"/>
    <x v="0"/>
    <x v="13"/>
    <n v="768"/>
    <n v="5376"/>
    <n v="3285.83"/>
    <n v="2090.17"/>
    <x v="1"/>
    <x v="1"/>
    <x v="2"/>
    <x v="848"/>
    <s v="Média"/>
  </r>
  <r>
    <n v="477"/>
    <x v="95"/>
    <x v="2"/>
    <x v="2"/>
    <x v="1"/>
    <n v="6013"/>
    <x v="1"/>
    <x v="3"/>
    <x v="13"/>
    <n v="752"/>
    <n v="5264"/>
    <n v="3272.69"/>
    <n v="1991.31"/>
    <x v="1"/>
    <x v="0"/>
    <x v="3"/>
    <x v="849"/>
    <s v="Média"/>
  </r>
  <r>
    <n v="247"/>
    <x v="23"/>
    <x v="0"/>
    <x v="0"/>
    <x v="2"/>
    <n v="2117"/>
    <x v="1"/>
    <x v="2"/>
    <x v="16"/>
    <n v="1314"/>
    <n v="5256"/>
    <n v="4154.25"/>
    <n v="1101.75"/>
    <x v="1"/>
    <x v="1"/>
    <x v="4"/>
    <x v="850"/>
    <s v="Média"/>
  </r>
  <r>
    <n v="170"/>
    <x v="11"/>
    <x v="3"/>
    <x v="2"/>
    <x v="3"/>
    <n v="3305"/>
    <x v="2"/>
    <x v="3"/>
    <x v="18"/>
    <n v="2614"/>
    <n v="5228"/>
    <n v="2186.2399999999998"/>
    <n v="3041.76"/>
    <x v="0"/>
    <x v="0"/>
    <x v="3"/>
    <x v="851"/>
    <s v="Alta"/>
  </r>
  <r>
    <n v="109"/>
    <x v="48"/>
    <x v="3"/>
    <x v="2"/>
    <x v="0"/>
    <n v="1945"/>
    <x v="1"/>
    <x v="2"/>
    <x v="18"/>
    <n v="2611"/>
    <n v="5222"/>
    <n v="2154.83"/>
    <n v="3067.17"/>
    <x v="1"/>
    <x v="1"/>
    <x v="0"/>
    <x v="852"/>
    <s v="Alta"/>
  </r>
  <r>
    <n v="629"/>
    <x v="85"/>
    <x v="3"/>
    <x v="3"/>
    <x v="1"/>
    <n v="6084"/>
    <x v="0"/>
    <x v="0"/>
    <x v="2"/>
    <n v="289"/>
    <n v="5202"/>
    <n v="2731.34"/>
    <n v="2470.66"/>
    <x v="0"/>
    <x v="1"/>
    <x v="2"/>
    <x v="853"/>
    <s v="Alta"/>
  </r>
  <r>
    <n v="807"/>
    <x v="136"/>
    <x v="2"/>
    <x v="0"/>
    <x v="1"/>
    <n v="4827"/>
    <x v="2"/>
    <x v="2"/>
    <x v="15"/>
    <n v="1028"/>
    <n v="5140"/>
    <n v="2706.29"/>
    <n v="2433.71"/>
    <x v="1"/>
    <x v="1"/>
    <x v="4"/>
    <x v="854"/>
    <s v="Alta"/>
  </r>
  <r>
    <n v="881"/>
    <x v="10"/>
    <x v="0"/>
    <x v="2"/>
    <x v="3"/>
    <n v="7693"/>
    <x v="1"/>
    <x v="0"/>
    <x v="14"/>
    <n v="841"/>
    <n v="5046"/>
    <n v="3778.05"/>
    <n v="1267.95"/>
    <x v="0"/>
    <x v="0"/>
    <x v="0"/>
    <x v="855"/>
    <s v="Média"/>
  </r>
  <r>
    <n v="355"/>
    <x v="34"/>
    <x v="0"/>
    <x v="1"/>
    <x v="3"/>
    <n v="9547"/>
    <x v="0"/>
    <x v="3"/>
    <x v="11"/>
    <n v="554"/>
    <n v="4986"/>
    <n v="3500.45"/>
    <n v="1485.55"/>
    <x v="1"/>
    <x v="0"/>
    <x v="3"/>
    <x v="856"/>
    <s v="Média"/>
  </r>
  <r>
    <n v="205"/>
    <x v="170"/>
    <x v="3"/>
    <x v="2"/>
    <x v="1"/>
    <n v="1803"/>
    <x v="2"/>
    <x v="4"/>
    <x v="17"/>
    <n v="1653"/>
    <n v="4959"/>
    <n v="3509.71"/>
    <n v="1449.29"/>
    <x v="0"/>
    <x v="2"/>
    <x v="4"/>
    <x v="857"/>
    <s v="Média"/>
  </r>
  <r>
    <n v="648"/>
    <x v="11"/>
    <x v="2"/>
    <x v="2"/>
    <x v="1"/>
    <n v="1099"/>
    <x v="0"/>
    <x v="3"/>
    <x v="18"/>
    <n v="2473"/>
    <n v="4946"/>
    <n v="2444.87"/>
    <n v="2501.13"/>
    <x v="2"/>
    <x v="1"/>
    <x v="4"/>
    <x v="858"/>
    <s v="Alta"/>
  </r>
  <r>
    <n v="643"/>
    <x v="113"/>
    <x v="3"/>
    <x v="4"/>
    <x v="3"/>
    <n v="7430"/>
    <x v="2"/>
    <x v="2"/>
    <x v="19"/>
    <n v="4825"/>
    <n v="4825"/>
    <n v="3309.87"/>
    <n v="1515.13"/>
    <x v="0"/>
    <x v="0"/>
    <x v="1"/>
    <x v="859"/>
    <s v="Média"/>
  </r>
  <r>
    <n v="177"/>
    <x v="63"/>
    <x v="2"/>
    <x v="3"/>
    <x v="1"/>
    <n v="8823"/>
    <x v="0"/>
    <x v="4"/>
    <x v="7"/>
    <n v="371"/>
    <n v="4823"/>
    <n v="2609.66"/>
    <n v="2213.34"/>
    <x v="0"/>
    <x v="1"/>
    <x v="2"/>
    <x v="860"/>
    <s v="Alta"/>
  </r>
  <r>
    <n v="318"/>
    <x v="33"/>
    <x v="0"/>
    <x v="4"/>
    <x v="0"/>
    <n v="4447"/>
    <x v="2"/>
    <x v="4"/>
    <x v="19"/>
    <n v="4792"/>
    <n v="4792"/>
    <n v="3322.39"/>
    <n v="1469.61"/>
    <x v="0"/>
    <x v="1"/>
    <x v="3"/>
    <x v="861"/>
    <s v="Média"/>
  </r>
  <r>
    <n v="686"/>
    <x v="157"/>
    <x v="2"/>
    <x v="4"/>
    <x v="2"/>
    <n v="1706"/>
    <x v="1"/>
    <x v="0"/>
    <x v="19"/>
    <n v="4785"/>
    <n v="4785"/>
    <n v="2036.83"/>
    <n v="2748.17"/>
    <x v="1"/>
    <x v="2"/>
    <x v="0"/>
    <x v="862"/>
    <s v="Alta"/>
  </r>
  <r>
    <n v="491"/>
    <x v="173"/>
    <x v="1"/>
    <x v="3"/>
    <x v="2"/>
    <n v="1919"/>
    <x v="0"/>
    <x v="3"/>
    <x v="18"/>
    <n v="2365"/>
    <n v="4730"/>
    <n v="1968.62"/>
    <n v="2761.38"/>
    <x v="1"/>
    <x v="2"/>
    <x v="0"/>
    <x v="863"/>
    <s v="Alta"/>
  </r>
  <r>
    <n v="451"/>
    <x v="117"/>
    <x v="0"/>
    <x v="1"/>
    <x v="3"/>
    <n v="5734"/>
    <x v="1"/>
    <x v="2"/>
    <x v="19"/>
    <n v="4670"/>
    <n v="4670"/>
    <n v="3541.23"/>
    <n v="1128.77"/>
    <x v="0"/>
    <x v="2"/>
    <x v="4"/>
    <x v="864"/>
    <s v="Média"/>
  </r>
  <r>
    <n v="293"/>
    <x v="160"/>
    <x v="1"/>
    <x v="1"/>
    <x v="3"/>
    <n v="4478"/>
    <x v="0"/>
    <x v="1"/>
    <x v="8"/>
    <n v="389"/>
    <n v="4668"/>
    <n v="2209.4699999999998"/>
    <n v="2458.5300000000002"/>
    <x v="2"/>
    <x v="1"/>
    <x v="2"/>
    <x v="865"/>
    <s v="Alta"/>
  </r>
  <r>
    <n v="506"/>
    <x v="39"/>
    <x v="1"/>
    <x v="3"/>
    <x v="0"/>
    <n v="2858"/>
    <x v="0"/>
    <x v="1"/>
    <x v="19"/>
    <n v="4642"/>
    <n v="4642"/>
    <n v="2224.16"/>
    <n v="2417.84"/>
    <x v="2"/>
    <x v="1"/>
    <x v="2"/>
    <x v="866"/>
    <s v="Alta"/>
  </r>
  <r>
    <n v="607"/>
    <x v="56"/>
    <x v="2"/>
    <x v="3"/>
    <x v="0"/>
    <n v="8840"/>
    <x v="0"/>
    <x v="0"/>
    <x v="18"/>
    <n v="2306"/>
    <n v="4612"/>
    <n v="3148.37"/>
    <n v="1463.63"/>
    <x v="1"/>
    <x v="0"/>
    <x v="4"/>
    <x v="867"/>
    <s v="Média"/>
  </r>
  <r>
    <n v="567"/>
    <x v="150"/>
    <x v="0"/>
    <x v="1"/>
    <x v="0"/>
    <n v="6272"/>
    <x v="1"/>
    <x v="0"/>
    <x v="17"/>
    <n v="1534"/>
    <n v="4602"/>
    <n v="3586.44"/>
    <n v="1015.56"/>
    <x v="2"/>
    <x v="2"/>
    <x v="1"/>
    <x v="868"/>
    <s v="Média"/>
  </r>
  <r>
    <n v="339"/>
    <x v="76"/>
    <x v="1"/>
    <x v="1"/>
    <x v="2"/>
    <n v="1752"/>
    <x v="2"/>
    <x v="4"/>
    <x v="11"/>
    <n v="510"/>
    <n v="4590"/>
    <n v="2096.56"/>
    <n v="2493.44"/>
    <x v="1"/>
    <x v="2"/>
    <x v="1"/>
    <x v="869"/>
    <s v="Alta"/>
  </r>
  <r>
    <n v="587"/>
    <x v="31"/>
    <x v="0"/>
    <x v="1"/>
    <x v="0"/>
    <n v="1285"/>
    <x v="2"/>
    <x v="3"/>
    <x v="18"/>
    <n v="2283"/>
    <n v="4566"/>
    <n v="1870.65"/>
    <n v="2695.35"/>
    <x v="0"/>
    <x v="0"/>
    <x v="2"/>
    <x v="870"/>
    <s v="Alta"/>
  </r>
  <r>
    <n v="850"/>
    <x v="131"/>
    <x v="2"/>
    <x v="1"/>
    <x v="0"/>
    <n v="4755"/>
    <x v="0"/>
    <x v="3"/>
    <x v="13"/>
    <n v="650"/>
    <n v="4550"/>
    <n v="3249.18"/>
    <n v="1300.82"/>
    <x v="0"/>
    <x v="1"/>
    <x v="0"/>
    <x v="871"/>
    <s v="Média"/>
  </r>
  <r>
    <n v="920"/>
    <x v="52"/>
    <x v="3"/>
    <x v="2"/>
    <x v="3"/>
    <n v="8752"/>
    <x v="0"/>
    <x v="4"/>
    <x v="4"/>
    <n v="281"/>
    <n v="4496"/>
    <n v="2132.92"/>
    <n v="2363.08"/>
    <x v="1"/>
    <x v="1"/>
    <x v="3"/>
    <x v="872"/>
    <s v="Alta"/>
  </r>
  <r>
    <n v="110"/>
    <x v="152"/>
    <x v="0"/>
    <x v="3"/>
    <x v="2"/>
    <n v="6966"/>
    <x v="0"/>
    <x v="2"/>
    <x v="2"/>
    <n v="249"/>
    <n v="4482"/>
    <n v="3522.3"/>
    <n v="959.7"/>
    <x v="0"/>
    <x v="0"/>
    <x v="2"/>
    <x v="873"/>
    <s v="Média"/>
  </r>
  <r>
    <n v="749"/>
    <x v="16"/>
    <x v="3"/>
    <x v="3"/>
    <x v="0"/>
    <n v="1155"/>
    <x v="2"/>
    <x v="3"/>
    <x v="17"/>
    <n v="1488"/>
    <n v="4464"/>
    <n v="3435.53"/>
    <n v="1028.47"/>
    <x v="0"/>
    <x v="0"/>
    <x v="4"/>
    <x v="874"/>
    <s v="Média"/>
  </r>
  <r>
    <n v="691"/>
    <x v="8"/>
    <x v="0"/>
    <x v="3"/>
    <x v="2"/>
    <n v="8706"/>
    <x v="2"/>
    <x v="2"/>
    <x v="19"/>
    <n v="4462"/>
    <n v="4462"/>
    <n v="2893.64"/>
    <n v="1568.36"/>
    <x v="2"/>
    <x v="2"/>
    <x v="3"/>
    <x v="875"/>
    <s v="Média"/>
  </r>
  <r>
    <n v="715"/>
    <x v="179"/>
    <x v="3"/>
    <x v="2"/>
    <x v="1"/>
    <n v="1605"/>
    <x v="0"/>
    <x v="3"/>
    <x v="3"/>
    <n v="258"/>
    <n v="4386"/>
    <n v="2036.15"/>
    <n v="2349.85"/>
    <x v="1"/>
    <x v="0"/>
    <x v="3"/>
    <x v="876"/>
    <s v="Alta"/>
  </r>
  <r>
    <n v="893"/>
    <x v="68"/>
    <x v="1"/>
    <x v="0"/>
    <x v="0"/>
    <n v="4324"/>
    <x v="0"/>
    <x v="0"/>
    <x v="7"/>
    <n v="334"/>
    <n v="4342"/>
    <n v="2344.15"/>
    <n v="1997.85"/>
    <x v="2"/>
    <x v="2"/>
    <x v="3"/>
    <x v="877"/>
    <s v="Alta"/>
  </r>
  <r>
    <n v="465"/>
    <x v="30"/>
    <x v="1"/>
    <x v="0"/>
    <x v="3"/>
    <n v="3902"/>
    <x v="1"/>
    <x v="0"/>
    <x v="11"/>
    <n v="468"/>
    <n v="4212"/>
    <n v="1823.03"/>
    <n v="2388.9699999999998"/>
    <x v="2"/>
    <x v="1"/>
    <x v="0"/>
    <x v="878"/>
    <s v="Alta"/>
  </r>
  <r>
    <n v="187"/>
    <x v="148"/>
    <x v="0"/>
    <x v="1"/>
    <x v="2"/>
    <n v="6604"/>
    <x v="2"/>
    <x v="3"/>
    <x v="19"/>
    <n v="4194"/>
    <n v="4194"/>
    <n v="1748.7"/>
    <n v="2445.3000000000002"/>
    <x v="2"/>
    <x v="0"/>
    <x v="1"/>
    <x v="879"/>
    <s v="Alta"/>
  </r>
  <r>
    <n v="899"/>
    <x v="49"/>
    <x v="3"/>
    <x v="0"/>
    <x v="0"/>
    <n v="3674"/>
    <x v="2"/>
    <x v="0"/>
    <x v="15"/>
    <n v="825"/>
    <n v="4125"/>
    <n v="2918.21"/>
    <n v="1206.79"/>
    <x v="2"/>
    <x v="2"/>
    <x v="2"/>
    <x v="880"/>
    <s v="Média"/>
  </r>
  <r>
    <n v="517"/>
    <x v="179"/>
    <x v="0"/>
    <x v="4"/>
    <x v="0"/>
    <n v="8680"/>
    <x v="2"/>
    <x v="2"/>
    <x v="19"/>
    <n v="4117"/>
    <n v="4117"/>
    <n v="2450.66"/>
    <n v="1666.34"/>
    <x v="0"/>
    <x v="0"/>
    <x v="0"/>
    <x v="881"/>
    <s v="Alta"/>
  </r>
  <r>
    <n v="519"/>
    <x v="131"/>
    <x v="1"/>
    <x v="4"/>
    <x v="0"/>
    <n v="3351"/>
    <x v="1"/>
    <x v="3"/>
    <x v="9"/>
    <n v="373"/>
    <n v="4103"/>
    <n v="2356.1999999999998"/>
    <n v="1746.8"/>
    <x v="2"/>
    <x v="0"/>
    <x v="2"/>
    <x v="882"/>
    <s v="Alta"/>
  </r>
  <r>
    <n v="831"/>
    <x v="169"/>
    <x v="3"/>
    <x v="4"/>
    <x v="3"/>
    <n v="1131"/>
    <x v="1"/>
    <x v="0"/>
    <x v="6"/>
    <n v="292"/>
    <n v="4088"/>
    <n v="1818"/>
    <n v="2270"/>
    <x v="1"/>
    <x v="1"/>
    <x v="1"/>
    <x v="883"/>
    <s v="Alta"/>
  </r>
  <r>
    <n v="167"/>
    <x v="127"/>
    <x v="1"/>
    <x v="0"/>
    <x v="3"/>
    <n v="1388"/>
    <x v="1"/>
    <x v="4"/>
    <x v="14"/>
    <n v="680"/>
    <n v="4080"/>
    <n v="2005.15"/>
    <n v="2074.85"/>
    <x v="1"/>
    <x v="2"/>
    <x v="1"/>
    <x v="884"/>
    <s v="Alta"/>
  </r>
  <r>
    <n v="202"/>
    <x v="53"/>
    <x v="1"/>
    <x v="0"/>
    <x v="1"/>
    <n v="8819"/>
    <x v="0"/>
    <x v="3"/>
    <x v="13"/>
    <n v="568"/>
    <n v="3976"/>
    <n v="3050.99"/>
    <n v="925.01"/>
    <x v="0"/>
    <x v="1"/>
    <x v="2"/>
    <x v="885"/>
    <s v="Média"/>
  </r>
  <r>
    <n v="581"/>
    <x v="58"/>
    <x v="1"/>
    <x v="2"/>
    <x v="2"/>
    <n v="5897"/>
    <x v="1"/>
    <x v="0"/>
    <x v="17"/>
    <n v="1314"/>
    <n v="3942"/>
    <n v="3086.17"/>
    <n v="855.83"/>
    <x v="2"/>
    <x v="0"/>
    <x v="3"/>
    <x v="886"/>
    <s v="Média"/>
  </r>
  <r>
    <n v="431"/>
    <x v="56"/>
    <x v="0"/>
    <x v="0"/>
    <x v="2"/>
    <n v="4012"/>
    <x v="0"/>
    <x v="3"/>
    <x v="10"/>
    <n v="394"/>
    <n v="3940"/>
    <n v="2737.46"/>
    <n v="1202.54"/>
    <x v="0"/>
    <x v="2"/>
    <x v="1"/>
    <x v="887"/>
    <s v="Média"/>
  </r>
  <r>
    <n v="84"/>
    <x v="100"/>
    <x v="0"/>
    <x v="1"/>
    <x v="2"/>
    <n v="8870"/>
    <x v="0"/>
    <x v="1"/>
    <x v="18"/>
    <n v="1959"/>
    <n v="3918"/>
    <n v="2796.91"/>
    <n v="1121.0899999999999"/>
    <x v="0"/>
    <x v="2"/>
    <x v="2"/>
    <x v="888"/>
    <s v="Média"/>
  </r>
  <r>
    <n v="181"/>
    <x v="16"/>
    <x v="2"/>
    <x v="4"/>
    <x v="0"/>
    <n v="4426"/>
    <x v="0"/>
    <x v="1"/>
    <x v="19"/>
    <n v="3904"/>
    <n v="3904"/>
    <n v="1907.75"/>
    <n v="1996.25"/>
    <x v="2"/>
    <x v="0"/>
    <x v="4"/>
    <x v="889"/>
    <s v="Alta"/>
  </r>
  <r>
    <n v="565"/>
    <x v="96"/>
    <x v="2"/>
    <x v="0"/>
    <x v="1"/>
    <n v="9262"/>
    <x v="1"/>
    <x v="4"/>
    <x v="6"/>
    <n v="277"/>
    <n v="3878"/>
    <n v="2428.8200000000002"/>
    <n v="1449.18"/>
    <x v="1"/>
    <x v="0"/>
    <x v="0"/>
    <x v="890"/>
    <s v="Média"/>
  </r>
  <r>
    <n v="226"/>
    <x v="11"/>
    <x v="3"/>
    <x v="4"/>
    <x v="3"/>
    <n v="4670"/>
    <x v="0"/>
    <x v="1"/>
    <x v="18"/>
    <n v="1931"/>
    <n v="3862"/>
    <n v="1930.97"/>
    <n v="1931.03"/>
    <x v="1"/>
    <x v="0"/>
    <x v="1"/>
    <x v="891"/>
    <s v="Alta"/>
  </r>
  <r>
    <n v="856"/>
    <x v="157"/>
    <x v="3"/>
    <x v="2"/>
    <x v="3"/>
    <n v="1773"/>
    <x v="0"/>
    <x v="2"/>
    <x v="19"/>
    <n v="3854"/>
    <n v="3854"/>
    <n v="2433.7199999999998"/>
    <n v="1420.28"/>
    <x v="1"/>
    <x v="0"/>
    <x v="4"/>
    <x v="892"/>
    <s v="Média"/>
  </r>
  <r>
    <n v="941"/>
    <x v="143"/>
    <x v="0"/>
    <x v="2"/>
    <x v="3"/>
    <n v="1097"/>
    <x v="2"/>
    <x v="2"/>
    <x v="19"/>
    <n v="3843"/>
    <n v="3843"/>
    <n v="2520.71"/>
    <n v="1322.29"/>
    <x v="1"/>
    <x v="0"/>
    <x v="0"/>
    <x v="893"/>
    <s v="Média"/>
  </r>
  <r>
    <n v="534"/>
    <x v="138"/>
    <x v="1"/>
    <x v="2"/>
    <x v="2"/>
    <n v="1167"/>
    <x v="0"/>
    <x v="3"/>
    <x v="3"/>
    <n v="223"/>
    <n v="3791"/>
    <n v="2555.59"/>
    <n v="1235.4100000000001"/>
    <x v="2"/>
    <x v="2"/>
    <x v="1"/>
    <x v="894"/>
    <s v="Média"/>
  </r>
  <r>
    <n v="360"/>
    <x v="9"/>
    <x v="0"/>
    <x v="3"/>
    <x v="0"/>
    <n v="5509"/>
    <x v="0"/>
    <x v="1"/>
    <x v="19"/>
    <n v="3725"/>
    <n v="3725"/>
    <n v="2104.86"/>
    <n v="1620.14"/>
    <x v="1"/>
    <x v="1"/>
    <x v="4"/>
    <x v="895"/>
    <s v="Alta"/>
  </r>
  <r>
    <n v="340"/>
    <x v="134"/>
    <x v="0"/>
    <x v="3"/>
    <x v="0"/>
    <n v="1148"/>
    <x v="1"/>
    <x v="2"/>
    <x v="16"/>
    <n v="931"/>
    <n v="3724"/>
    <n v="2692.39"/>
    <n v="1031.6099999999999"/>
    <x v="0"/>
    <x v="1"/>
    <x v="0"/>
    <x v="896"/>
    <s v="Média"/>
  </r>
  <r>
    <n v="575"/>
    <x v="161"/>
    <x v="1"/>
    <x v="1"/>
    <x v="2"/>
    <n v="4369"/>
    <x v="0"/>
    <x v="4"/>
    <x v="13"/>
    <n v="524"/>
    <n v="3668"/>
    <n v="1904.05"/>
    <n v="1763.95"/>
    <x v="0"/>
    <x v="0"/>
    <x v="1"/>
    <x v="897"/>
    <s v="Alta"/>
  </r>
  <r>
    <n v="872"/>
    <x v="108"/>
    <x v="2"/>
    <x v="1"/>
    <x v="0"/>
    <n v="2134"/>
    <x v="1"/>
    <x v="3"/>
    <x v="10"/>
    <n v="366"/>
    <n v="3660"/>
    <n v="2907.72"/>
    <n v="752.28"/>
    <x v="0"/>
    <x v="2"/>
    <x v="0"/>
    <x v="898"/>
    <s v="Média"/>
  </r>
  <r>
    <n v="851"/>
    <x v="15"/>
    <x v="0"/>
    <x v="2"/>
    <x v="2"/>
    <n v="2806"/>
    <x v="1"/>
    <x v="3"/>
    <x v="19"/>
    <n v="3642"/>
    <n v="3642"/>
    <n v="1647.83"/>
    <n v="1994.17"/>
    <x v="1"/>
    <x v="1"/>
    <x v="4"/>
    <x v="899"/>
    <s v="Alta"/>
  </r>
  <r>
    <n v="527"/>
    <x v="112"/>
    <x v="3"/>
    <x v="2"/>
    <x v="0"/>
    <n v="6996"/>
    <x v="0"/>
    <x v="1"/>
    <x v="19"/>
    <n v="3597"/>
    <n v="3597"/>
    <n v="2689.33"/>
    <n v="907.67"/>
    <x v="2"/>
    <x v="1"/>
    <x v="1"/>
    <x v="900"/>
    <s v="Média"/>
  </r>
  <r>
    <n v="169"/>
    <x v="7"/>
    <x v="0"/>
    <x v="1"/>
    <x v="3"/>
    <n v="1756"/>
    <x v="2"/>
    <x v="1"/>
    <x v="19"/>
    <n v="3550"/>
    <n v="3550"/>
    <n v="2407.71"/>
    <n v="1142.29"/>
    <x v="1"/>
    <x v="2"/>
    <x v="3"/>
    <x v="901"/>
    <s v="Média"/>
  </r>
  <r>
    <n v="243"/>
    <x v="120"/>
    <x v="1"/>
    <x v="3"/>
    <x v="0"/>
    <n v="7957"/>
    <x v="0"/>
    <x v="0"/>
    <x v="19"/>
    <n v="3508"/>
    <n v="3508"/>
    <n v="2328.1"/>
    <n v="1179.9000000000001"/>
    <x v="2"/>
    <x v="0"/>
    <x v="3"/>
    <x v="902"/>
    <s v="Média"/>
  </r>
  <r>
    <n v="660"/>
    <x v="149"/>
    <x v="3"/>
    <x v="1"/>
    <x v="2"/>
    <n v="2684"/>
    <x v="0"/>
    <x v="3"/>
    <x v="16"/>
    <n v="877"/>
    <n v="3508"/>
    <n v="1502.85"/>
    <n v="2005.15"/>
    <x v="1"/>
    <x v="1"/>
    <x v="4"/>
    <x v="903"/>
    <s v="Alta"/>
  </r>
  <r>
    <n v="651"/>
    <x v="179"/>
    <x v="2"/>
    <x v="3"/>
    <x v="0"/>
    <n v="6313"/>
    <x v="0"/>
    <x v="2"/>
    <x v="18"/>
    <n v="1751"/>
    <n v="3502"/>
    <n v="2073.11"/>
    <n v="1428.89"/>
    <x v="1"/>
    <x v="0"/>
    <x v="4"/>
    <x v="904"/>
    <s v="Alta"/>
  </r>
  <r>
    <n v="388"/>
    <x v="144"/>
    <x v="0"/>
    <x v="3"/>
    <x v="0"/>
    <n v="3120"/>
    <x v="0"/>
    <x v="0"/>
    <x v="19"/>
    <n v="3457"/>
    <n v="3457"/>
    <n v="1547.46"/>
    <n v="1909.54"/>
    <x v="1"/>
    <x v="1"/>
    <x v="2"/>
    <x v="905"/>
    <s v="Alta"/>
  </r>
  <r>
    <n v="780"/>
    <x v="139"/>
    <x v="3"/>
    <x v="4"/>
    <x v="3"/>
    <n v="7742"/>
    <x v="0"/>
    <x v="1"/>
    <x v="19"/>
    <n v="3436"/>
    <n v="3436"/>
    <n v="1408.25"/>
    <n v="2027.75"/>
    <x v="1"/>
    <x v="0"/>
    <x v="0"/>
    <x v="906"/>
    <s v="Alta"/>
  </r>
  <r>
    <n v="321"/>
    <x v="20"/>
    <x v="0"/>
    <x v="1"/>
    <x v="0"/>
    <n v="4866"/>
    <x v="2"/>
    <x v="1"/>
    <x v="7"/>
    <n v="263"/>
    <n v="3419"/>
    <n v="1900.75"/>
    <n v="1518.25"/>
    <x v="0"/>
    <x v="0"/>
    <x v="3"/>
    <x v="907"/>
    <s v="Alta"/>
  </r>
  <r>
    <n v="611"/>
    <x v="150"/>
    <x v="2"/>
    <x v="3"/>
    <x v="1"/>
    <n v="8859"/>
    <x v="1"/>
    <x v="3"/>
    <x v="18"/>
    <n v="1701"/>
    <n v="3402"/>
    <n v="1463.48"/>
    <n v="1938.52"/>
    <x v="2"/>
    <x v="1"/>
    <x v="4"/>
    <x v="908"/>
    <s v="Alta"/>
  </r>
  <r>
    <n v="983"/>
    <x v="151"/>
    <x v="2"/>
    <x v="3"/>
    <x v="1"/>
    <n v="1203"/>
    <x v="2"/>
    <x v="2"/>
    <x v="17"/>
    <n v="1127"/>
    <n v="3381"/>
    <n v="2070"/>
    <n v="1311"/>
    <x v="0"/>
    <x v="1"/>
    <x v="3"/>
    <x v="909"/>
    <s v="Média"/>
  </r>
  <r>
    <n v="642"/>
    <x v="23"/>
    <x v="3"/>
    <x v="0"/>
    <x v="2"/>
    <n v="8907"/>
    <x v="0"/>
    <x v="2"/>
    <x v="16"/>
    <n v="828"/>
    <n v="3312"/>
    <n v="2300.1799999999998"/>
    <n v="1011.82"/>
    <x v="1"/>
    <x v="1"/>
    <x v="1"/>
    <x v="910"/>
    <s v="Média"/>
  </r>
  <r>
    <n v="976"/>
    <x v="74"/>
    <x v="1"/>
    <x v="4"/>
    <x v="1"/>
    <n v="6117"/>
    <x v="1"/>
    <x v="2"/>
    <x v="18"/>
    <n v="1655"/>
    <n v="3310"/>
    <n v="2080.59"/>
    <n v="1229.4100000000001"/>
    <x v="1"/>
    <x v="2"/>
    <x v="2"/>
    <x v="911"/>
    <s v="Média"/>
  </r>
  <r>
    <n v="461"/>
    <x v="78"/>
    <x v="2"/>
    <x v="1"/>
    <x v="2"/>
    <n v="3799"/>
    <x v="2"/>
    <x v="2"/>
    <x v="14"/>
    <n v="544"/>
    <n v="3264"/>
    <n v="1486.64"/>
    <n v="1777.36"/>
    <x v="0"/>
    <x v="0"/>
    <x v="2"/>
    <x v="912"/>
    <s v="Alta"/>
  </r>
  <r>
    <n v="93"/>
    <x v="102"/>
    <x v="2"/>
    <x v="0"/>
    <x v="1"/>
    <n v="3463"/>
    <x v="1"/>
    <x v="4"/>
    <x v="12"/>
    <n v="404"/>
    <n v="3232"/>
    <n v="2052.0300000000002"/>
    <n v="1179.97"/>
    <x v="0"/>
    <x v="2"/>
    <x v="3"/>
    <x v="913"/>
    <s v="Média"/>
  </r>
  <r>
    <n v="854"/>
    <x v="29"/>
    <x v="3"/>
    <x v="1"/>
    <x v="3"/>
    <n v="5544"/>
    <x v="0"/>
    <x v="4"/>
    <x v="19"/>
    <n v="3175"/>
    <n v="3175"/>
    <n v="2018.17"/>
    <n v="1156.83"/>
    <x v="1"/>
    <x v="1"/>
    <x v="3"/>
    <x v="914"/>
    <s v="Média"/>
  </r>
  <r>
    <n v="797"/>
    <x v="52"/>
    <x v="3"/>
    <x v="3"/>
    <x v="1"/>
    <n v="7258"/>
    <x v="0"/>
    <x v="2"/>
    <x v="18"/>
    <n v="1576"/>
    <n v="3152"/>
    <n v="1306.8"/>
    <n v="1845.2"/>
    <x v="1"/>
    <x v="2"/>
    <x v="1"/>
    <x v="915"/>
    <s v="Alta"/>
  </r>
  <r>
    <n v="823"/>
    <x v="55"/>
    <x v="2"/>
    <x v="2"/>
    <x v="0"/>
    <n v="5420"/>
    <x v="0"/>
    <x v="3"/>
    <x v="16"/>
    <n v="784"/>
    <n v="3136"/>
    <n v="1730.83"/>
    <n v="1405.17"/>
    <x v="0"/>
    <x v="1"/>
    <x v="0"/>
    <x v="916"/>
    <s v="Alta"/>
  </r>
  <r>
    <n v="90"/>
    <x v="132"/>
    <x v="0"/>
    <x v="0"/>
    <x v="3"/>
    <n v="3313"/>
    <x v="2"/>
    <x v="0"/>
    <x v="6"/>
    <n v="221"/>
    <n v="3094"/>
    <n v="1969.87"/>
    <n v="1124.1300000000001"/>
    <x v="2"/>
    <x v="1"/>
    <x v="4"/>
    <x v="917"/>
    <s v="Média"/>
  </r>
  <r>
    <n v="963"/>
    <x v="45"/>
    <x v="2"/>
    <x v="0"/>
    <x v="1"/>
    <n v="1758"/>
    <x v="0"/>
    <x v="1"/>
    <x v="17"/>
    <n v="1028"/>
    <n v="3084"/>
    <n v="1276.68"/>
    <n v="1807.32"/>
    <x v="0"/>
    <x v="1"/>
    <x v="1"/>
    <x v="918"/>
    <s v="Alta"/>
  </r>
  <r>
    <n v="445"/>
    <x v="131"/>
    <x v="0"/>
    <x v="3"/>
    <x v="3"/>
    <n v="6213"/>
    <x v="2"/>
    <x v="1"/>
    <x v="17"/>
    <n v="1022"/>
    <n v="3066"/>
    <n v="1775.57"/>
    <n v="1290.43"/>
    <x v="1"/>
    <x v="2"/>
    <x v="1"/>
    <x v="919"/>
    <s v="Alta"/>
  </r>
  <r>
    <n v="802"/>
    <x v="172"/>
    <x v="0"/>
    <x v="3"/>
    <x v="0"/>
    <n v="8627"/>
    <x v="2"/>
    <x v="3"/>
    <x v="19"/>
    <n v="3012"/>
    <n v="3012"/>
    <n v="1879.32"/>
    <n v="1132.68"/>
    <x v="0"/>
    <x v="2"/>
    <x v="2"/>
    <x v="920"/>
    <s v="Média"/>
  </r>
  <r>
    <n v="460"/>
    <x v="177"/>
    <x v="3"/>
    <x v="3"/>
    <x v="0"/>
    <n v="3139"/>
    <x v="0"/>
    <x v="2"/>
    <x v="17"/>
    <n v="999"/>
    <n v="2997"/>
    <n v="1575.27"/>
    <n v="1421.73"/>
    <x v="0"/>
    <x v="0"/>
    <x v="3"/>
    <x v="921"/>
    <s v="Alta"/>
  </r>
  <r>
    <n v="308"/>
    <x v="148"/>
    <x v="0"/>
    <x v="3"/>
    <x v="3"/>
    <n v="8128"/>
    <x v="1"/>
    <x v="4"/>
    <x v="18"/>
    <n v="1433"/>
    <n v="2866"/>
    <n v="1291.32"/>
    <n v="1574.68"/>
    <x v="0"/>
    <x v="0"/>
    <x v="3"/>
    <x v="922"/>
    <s v="Alta"/>
  </r>
  <r>
    <n v="215"/>
    <x v="40"/>
    <x v="1"/>
    <x v="0"/>
    <x v="3"/>
    <n v="3784"/>
    <x v="1"/>
    <x v="3"/>
    <x v="18"/>
    <n v="1431"/>
    <n v="2862"/>
    <n v="1556.63"/>
    <n v="1305.3699999999999"/>
    <x v="2"/>
    <x v="2"/>
    <x v="2"/>
    <x v="923"/>
    <s v="Alta"/>
  </r>
  <r>
    <n v="563"/>
    <x v="106"/>
    <x v="0"/>
    <x v="4"/>
    <x v="1"/>
    <n v="8158"/>
    <x v="1"/>
    <x v="3"/>
    <x v="19"/>
    <n v="2842"/>
    <n v="2842"/>
    <n v="1950.67"/>
    <n v="891.33"/>
    <x v="2"/>
    <x v="0"/>
    <x v="4"/>
    <x v="924"/>
    <s v="Média"/>
  </r>
  <r>
    <n v="598"/>
    <x v="22"/>
    <x v="3"/>
    <x v="3"/>
    <x v="2"/>
    <n v="6447"/>
    <x v="1"/>
    <x v="0"/>
    <x v="14"/>
    <n v="473"/>
    <n v="2838"/>
    <n v="1567.69"/>
    <n v="1270.31"/>
    <x v="1"/>
    <x v="2"/>
    <x v="4"/>
    <x v="925"/>
    <s v="Alta"/>
  </r>
  <r>
    <n v="166"/>
    <x v="69"/>
    <x v="3"/>
    <x v="0"/>
    <x v="3"/>
    <n v="3566"/>
    <x v="2"/>
    <x v="1"/>
    <x v="9"/>
    <n v="255"/>
    <n v="2805"/>
    <n v="1395.29"/>
    <n v="1409.71"/>
    <x v="0"/>
    <x v="1"/>
    <x v="4"/>
    <x v="926"/>
    <s v="Alta"/>
  </r>
  <r>
    <n v="160"/>
    <x v="58"/>
    <x v="1"/>
    <x v="3"/>
    <x v="3"/>
    <n v="9013"/>
    <x v="2"/>
    <x v="1"/>
    <x v="17"/>
    <n v="931"/>
    <n v="2793"/>
    <n v="1998.58"/>
    <n v="794.42"/>
    <x v="2"/>
    <x v="2"/>
    <x v="4"/>
    <x v="927"/>
    <s v="Média"/>
  </r>
  <r>
    <n v="690"/>
    <x v="12"/>
    <x v="2"/>
    <x v="3"/>
    <x v="2"/>
    <n v="2005"/>
    <x v="1"/>
    <x v="1"/>
    <x v="10"/>
    <n v="278"/>
    <n v="2780"/>
    <n v="1319.4"/>
    <n v="1460.6"/>
    <x v="2"/>
    <x v="2"/>
    <x v="0"/>
    <x v="928"/>
    <s v="Alta"/>
  </r>
  <r>
    <n v="150"/>
    <x v="69"/>
    <x v="3"/>
    <x v="0"/>
    <x v="3"/>
    <n v="8652"/>
    <x v="0"/>
    <x v="2"/>
    <x v="14"/>
    <n v="462"/>
    <n v="2772"/>
    <n v="1391.42"/>
    <n v="1380.58"/>
    <x v="0"/>
    <x v="1"/>
    <x v="3"/>
    <x v="929"/>
    <s v="Alta"/>
  </r>
  <r>
    <n v="903"/>
    <x v="33"/>
    <x v="3"/>
    <x v="3"/>
    <x v="2"/>
    <n v="2310"/>
    <x v="0"/>
    <x v="4"/>
    <x v="19"/>
    <n v="2766"/>
    <n v="2766"/>
    <n v="1820.33"/>
    <n v="945.67"/>
    <x v="1"/>
    <x v="1"/>
    <x v="3"/>
    <x v="930"/>
    <s v="Média"/>
  </r>
  <r>
    <n v="663"/>
    <x v="62"/>
    <x v="2"/>
    <x v="2"/>
    <x v="1"/>
    <n v="5901"/>
    <x v="0"/>
    <x v="4"/>
    <x v="14"/>
    <n v="460"/>
    <n v="2760"/>
    <n v="1410.8"/>
    <n v="1349.2"/>
    <x v="1"/>
    <x v="0"/>
    <x v="0"/>
    <x v="931"/>
    <s v="Alta"/>
  </r>
  <r>
    <n v="304"/>
    <x v="101"/>
    <x v="0"/>
    <x v="2"/>
    <x v="2"/>
    <n v="8939"/>
    <x v="1"/>
    <x v="2"/>
    <x v="17"/>
    <n v="919"/>
    <n v="2757"/>
    <n v="1253.73"/>
    <n v="1503.27"/>
    <x v="0"/>
    <x v="2"/>
    <x v="4"/>
    <x v="932"/>
    <s v="Alta"/>
  </r>
  <r>
    <n v="572"/>
    <x v="90"/>
    <x v="0"/>
    <x v="1"/>
    <x v="1"/>
    <n v="2972"/>
    <x v="0"/>
    <x v="1"/>
    <x v="7"/>
    <n v="207"/>
    <n v="2691"/>
    <n v="1814.9"/>
    <n v="876.1"/>
    <x v="2"/>
    <x v="2"/>
    <x v="3"/>
    <x v="933"/>
    <s v="Média"/>
  </r>
  <r>
    <n v="764"/>
    <x v="138"/>
    <x v="3"/>
    <x v="2"/>
    <x v="3"/>
    <n v="7260"/>
    <x v="2"/>
    <x v="3"/>
    <x v="19"/>
    <n v="2686"/>
    <n v="2686"/>
    <n v="2032.25"/>
    <n v="653.75"/>
    <x v="1"/>
    <x v="0"/>
    <x v="1"/>
    <x v="934"/>
    <s v="Média"/>
  </r>
  <r>
    <n v="359"/>
    <x v="116"/>
    <x v="0"/>
    <x v="4"/>
    <x v="1"/>
    <n v="5026"/>
    <x v="0"/>
    <x v="0"/>
    <x v="17"/>
    <n v="890"/>
    <n v="2670"/>
    <n v="1618.83"/>
    <n v="1051.17"/>
    <x v="0"/>
    <x v="2"/>
    <x v="3"/>
    <x v="935"/>
    <s v="Média"/>
  </r>
  <r>
    <n v="535"/>
    <x v="54"/>
    <x v="3"/>
    <x v="0"/>
    <x v="3"/>
    <n v="2318"/>
    <x v="1"/>
    <x v="2"/>
    <x v="16"/>
    <n v="654"/>
    <n v="2616"/>
    <n v="1185.71"/>
    <n v="1430.29"/>
    <x v="0"/>
    <x v="2"/>
    <x v="3"/>
    <x v="936"/>
    <s v="Alta"/>
  </r>
  <r>
    <n v="103"/>
    <x v="152"/>
    <x v="3"/>
    <x v="3"/>
    <x v="2"/>
    <n v="5795"/>
    <x v="2"/>
    <x v="1"/>
    <x v="17"/>
    <n v="869"/>
    <n v="2607"/>
    <n v="2070.87"/>
    <n v="536.13"/>
    <x v="1"/>
    <x v="2"/>
    <x v="4"/>
    <x v="937"/>
    <s v="Média"/>
  </r>
  <r>
    <n v="350"/>
    <x v="154"/>
    <x v="3"/>
    <x v="3"/>
    <x v="3"/>
    <n v="4949"/>
    <x v="1"/>
    <x v="4"/>
    <x v="10"/>
    <n v="252"/>
    <n v="2520"/>
    <n v="1875.29"/>
    <n v="644.71"/>
    <x v="0"/>
    <x v="0"/>
    <x v="3"/>
    <x v="938"/>
    <s v="Média"/>
  </r>
  <r>
    <n v="545"/>
    <x v="22"/>
    <x v="1"/>
    <x v="0"/>
    <x v="1"/>
    <n v="7981"/>
    <x v="0"/>
    <x v="1"/>
    <x v="18"/>
    <n v="1251"/>
    <n v="2502"/>
    <n v="1623.37"/>
    <n v="878.63"/>
    <x v="2"/>
    <x v="0"/>
    <x v="4"/>
    <x v="939"/>
    <s v="Média"/>
  </r>
  <r>
    <n v="639"/>
    <x v="113"/>
    <x v="0"/>
    <x v="0"/>
    <x v="1"/>
    <n v="8871"/>
    <x v="2"/>
    <x v="1"/>
    <x v="11"/>
    <n v="276"/>
    <n v="2484"/>
    <n v="1929.3"/>
    <n v="554.70000000000005"/>
    <x v="1"/>
    <x v="0"/>
    <x v="3"/>
    <x v="940"/>
    <s v="Média"/>
  </r>
  <r>
    <n v="260"/>
    <x v="159"/>
    <x v="2"/>
    <x v="0"/>
    <x v="3"/>
    <n v="5316"/>
    <x v="1"/>
    <x v="3"/>
    <x v="19"/>
    <n v="2428"/>
    <n v="2428"/>
    <n v="1560.39"/>
    <n v="867.61"/>
    <x v="1"/>
    <x v="2"/>
    <x v="3"/>
    <x v="941"/>
    <s v="Média"/>
  </r>
  <r>
    <n v="697"/>
    <x v="82"/>
    <x v="0"/>
    <x v="1"/>
    <x v="1"/>
    <n v="1330"/>
    <x v="0"/>
    <x v="1"/>
    <x v="17"/>
    <n v="809"/>
    <n v="2427"/>
    <n v="976.26"/>
    <n v="1450.74"/>
    <x v="2"/>
    <x v="2"/>
    <x v="3"/>
    <x v="942"/>
    <s v="Alta"/>
  </r>
  <r>
    <n v="198"/>
    <x v="86"/>
    <x v="1"/>
    <x v="4"/>
    <x v="2"/>
    <n v="4576"/>
    <x v="0"/>
    <x v="4"/>
    <x v="14"/>
    <n v="389"/>
    <n v="2334"/>
    <n v="1152.48"/>
    <n v="1181.52"/>
    <x v="2"/>
    <x v="2"/>
    <x v="1"/>
    <x v="943"/>
    <s v="Alta"/>
  </r>
  <r>
    <n v="429"/>
    <x v="32"/>
    <x v="1"/>
    <x v="4"/>
    <x v="0"/>
    <n v="6903"/>
    <x v="2"/>
    <x v="1"/>
    <x v="16"/>
    <n v="580"/>
    <n v="2320"/>
    <n v="1247.19"/>
    <n v="1072.81"/>
    <x v="1"/>
    <x v="2"/>
    <x v="4"/>
    <x v="944"/>
    <s v="Alta"/>
  </r>
  <r>
    <n v="482"/>
    <x v="96"/>
    <x v="1"/>
    <x v="4"/>
    <x v="3"/>
    <n v="7598"/>
    <x v="0"/>
    <x v="3"/>
    <x v="18"/>
    <n v="1132"/>
    <n v="2264"/>
    <n v="972.01"/>
    <n v="1291.99"/>
    <x v="1"/>
    <x v="0"/>
    <x v="2"/>
    <x v="945"/>
    <s v="Alta"/>
  </r>
  <r>
    <n v="434"/>
    <x v="178"/>
    <x v="0"/>
    <x v="3"/>
    <x v="2"/>
    <n v="4457"/>
    <x v="2"/>
    <x v="1"/>
    <x v="14"/>
    <n v="369"/>
    <n v="2214"/>
    <n v="1011.79"/>
    <n v="1202.21"/>
    <x v="0"/>
    <x v="2"/>
    <x v="4"/>
    <x v="946"/>
    <s v="Alta"/>
  </r>
  <r>
    <n v="26"/>
    <x v="99"/>
    <x v="3"/>
    <x v="2"/>
    <x v="2"/>
    <n v="4380"/>
    <x v="1"/>
    <x v="1"/>
    <x v="14"/>
    <n v="368"/>
    <n v="2208"/>
    <n v="1640.12"/>
    <n v="567.88"/>
    <x v="0"/>
    <x v="2"/>
    <x v="4"/>
    <x v="947"/>
    <s v="Média"/>
  </r>
  <r>
    <n v="961"/>
    <x v="132"/>
    <x v="0"/>
    <x v="0"/>
    <x v="2"/>
    <n v="2350"/>
    <x v="2"/>
    <x v="4"/>
    <x v="17"/>
    <n v="724"/>
    <n v="2172"/>
    <n v="1020.5"/>
    <n v="1151.5"/>
    <x v="2"/>
    <x v="0"/>
    <x v="0"/>
    <x v="948"/>
    <s v="Alta"/>
  </r>
  <r>
    <n v="966"/>
    <x v="167"/>
    <x v="1"/>
    <x v="2"/>
    <x v="0"/>
    <n v="6797"/>
    <x v="2"/>
    <x v="2"/>
    <x v="19"/>
    <n v="2146"/>
    <n v="2146"/>
    <n v="999.26"/>
    <n v="1146.74"/>
    <x v="1"/>
    <x v="0"/>
    <x v="1"/>
    <x v="949"/>
    <s v="Alta"/>
  </r>
  <r>
    <n v="975"/>
    <x v="104"/>
    <x v="2"/>
    <x v="4"/>
    <x v="2"/>
    <n v="3258"/>
    <x v="0"/>
    <x v="1"/>
    <x v="17"/>
    <n v="710"/>
    <n v="2130"/>
    <n v="1025.21"/>
    <n v="1104.79"/>
    <x v="1"/>
    <x v="2"/>
    <x v="3"/>
    <x v="950"/>
    <s v="Alta"/>
  </r>
  <r>
    <n v="13"/>
    <x v="164"/>
    <x v="1"/>
    <x v="4"/>
    <x v="2"/>
    <n v="3229"/>
    <x v="0"/>
    <x v="4"/>
    <x v="18"/>
    <n v="1063"/>
    <n v="2126"/>
    <n v="1265.29"/>
    <n v="860.71"/>
    <x v="1"/>
    <x v="1"/>
    <x v="3"/>
    <x v="951"/>
    <s v="Alta"/>
  </r>
  <r>
    <n v="755"/>
    <x v="50"/>
    <x v="3"/>
    <x v="4"/>
    <x v="0"/>
    <n v="5470"/>
    <x v="0"/>
    <x v="0"/>
    <x v="14"/>
    <n v="353"/>
    <n v="2118"/>
    <n v="1443.44"/>
    <n v="674.56"/>
    <x v="1"/>
    <x v="1"/>
    <x v="2"/>
    <x v="952"/>
    <s v="Média"/>
  </r>
  <r>
    <n v="370"/>
    <x v="128"/>
    <x v="2"/>
    <x v="2"/>
    <x v="3"/>
    <n v="2069"/>
    <x v="0"/>
    <x v="1"/>
    <x v="13"/>
    <n v="301"/>
    <n v="2107"/>
    <n v="1121.94"/>
    <n v="985.06"/>
    <x v="0"/>
    <x v="1"/>
    <x v="1"/>
    <x v="953"/>
    <s v="Alta"/>
  </r>
  <r>
    <n v="164"/>
    <x v="168"/>
    <x v="1"/>
    <x v="0"/>
    <x v="0"/>
    <n v="2870"/>
    <x v="0"/>
    <x v="0"/>
    <x v="18"/>
    <n v="1052"/>
    <n v="2104"/>
    <n v="1479.8"/>
    <n v="624.20000000000005"/>
    <x v="0"/>
    <x v="2"/>
    <x v="4"/>
    <x v="954"/>
    <s v="Média"/>
  </r>
  <r>
    <n v="395"/>
    <x v="161"/>
    <x v="0"/>
    <x v="2"/>
    <x v="0"/>
    <n v="6789"/>
    <x v="0"/>
    <x v="2"/>
    <x v="12"/>
    <n v="263"/>
    <n v="2104"/>
    <n v="1137.98"/>
    <n v="966.02"/>
    <x v="1"/>
    <x v="2"/>
    <x v="4"/>
    <x v="955"/>
    <s v="Alta"/>
  </r>
  <r>
    <n v="991"/>
    <x v="133"/>
    <x v="0"/>
    <x v="3"/>
    <x v="3"/>
    <n v="3363"/>
    <x v="1"/>
    <x v="2"/>
    <x v="16"/>
    <n v="526"/>
    <n v="2104"/>
    <n v="1510.98"/>
    <n v="593.02"/>
    <x v="2"/>
    <x v="0"/>
    <x v="3"/>
    <x v="956"/>
    <s v="Média"/>
  </r>
  <r>
    <n v="245"/>
    <x v="48"/>
    <x v="0"/>
    <x v="0"/>
    <x v="3"/>
    <n v="4629"/>
    <x v="0"/>
    <x v="1"/>
    <x v="18"/>
    <n v="1001"/>
    <n v="2002"/>
    <n v="1121.49"/>
    <n v="880.51"/>
    <x v="2"/>
    <x v="1"/>
    <x v="0"/>
    <x v="957"/>
    <s v="Alta"/>
  </r>
  <r>
    <n v="644"/>
    <x v="84"/>
    <x v="0"/>
    <x v="2"/>
    <x v="3"/>
    <n v="1983"/>
    <x v="0"/>
    <x v="4"/>
    <x v="19"/>
    <n v="1986"/>
    <n v="1986"/>
    <n v="887.21"/>
    <n v="1098.79"/>
    <x v="1"/>
    <x v="1"/>
    <x v="0"/>
    <x v="958"/>
    <s v="Alta"/>
  </r>
  <r>
    <n v="695"/>
    <x v="70"/>
    <x v="3"/>
    <x v="2"/>
    <x v="1"/>
    <n v="5217"/>
    <x v="2"/>
    <x v="4"/>
    <x v="17"/>
    <n v="644"/>
    <n v="1932"/>
    <n v="1408.6"/>
    <n v="523.4"/>
    <x v="0"/>
    <x v="1"/>
    <x v="0"/>
    <x v="959"/>
    <s v="Média"/>
  </r>
  <r>
    <n v="163"/>
    <x v="126"/>
    <x v="0"/>
    <x v="4"/>
    <x v="2"/>
    <n v="4813"/>
    <x v="2"/>
    <x v="4"/>
    <x v="19"/>
    <n v="1897"/>
    <n v="1897"/>
    <n v="1359.67"/>
    <n v="537.33000000000004"/>
    <x v="1"/>
    <x v="1"/>
    <x v="0"/>
    <x v="960"/>
    <s v="Média"/>
  </r>
  <r>
    <n v="997"/>
    <x v="179"/>
    <x v="1"/>
    <x v="1"/>
    <x v="2"/>
    <n v="4621"/>
    <x v="2"/>
    <x v="1"/>
    <x v="14"/>
    <n v="305"/>
    <n v="1830"/>
    <n v="1206.26"/>
    <n v="623.74"/>
    <x v="2"/>
    <x v="2"/>
    <x v="1"/>
    <x v="961"/>
    <s v="Média"/>
  </r>
  <r>
    <n v="585"/>
    <x v="49"/>
    <x v="0"/>
    <x v="2"/>
    <x v="0"/>
    <n v="4935"/>
    <x v="2"/>
    <x v="4"/>
    <x v="19"/>
    <n v="1826"/>
    <n v="1826"/>
    <n v="873.39"/>
    <n v="952.61"/>
    <x v="2"/>
    <x v="0"/>
    <x v="1"/>
    <x v="962"/>
    <s v="Alta"/>
  </r>
  <r>
    <n v="51"/>
    <x v="13"/>
    <x v="2"/>
    <x v="1"/>
    <x v="0"/>
    <n v="3431"/>
    <x v="1"/>
    <x v="3"/>
    <x v="19"/>
    <n v="1794"/>
    <n v="1794"/>
    <n v="748.4"/>
    <n v="1045.5999999999999"/>
    <x v="1"/>
    <x v="0"/>
    <x v="0"/>
    <x v="963"/>
    <s v="Alta"/>
  </r>
  <r>
    <n v="454"/>
    <x v="145"/>
    <x v="2"/>
    <x v="2"/>
    <x v="2"/>
    <n v="4533"/>
    <x v="2"/>
    <x v="4"/>
    <x v="14"/>
    <n v="295"/>
    <n v="1770"/>
    <n v="717.04"/>
    <n v="1052.96"/>
    <x v="2"/>
    <x v="2"/>
    <x v="3"/>
    <x v="964"/>
    <s v="Alta"/>
  </r>
  <r>
    <n v="737"/>
    <x v="149"/>
    <x v="2"/>
    <x v="4"/>
    <x v="3"/>
    <n v="3346"/>
    <x v="1"/>
    <x v="1"/>
    <x v="17"/>
    <n v="590"/>
    <n v="1770"/>
    <n v="1383.11"/>
    <n v="386.89"/>
    <x v="2"/>
    <x v="2"/>
    <x v="0"/>
    <x v="965"/>
    <s v="Média"/>
  </r>
  <r>
    <n v="268"/>
    <x v="131"/>
    <x v="0"/>
    <x v="1"/>
    <x v="2"/>
    <n v="1557"/>
    <x v="1"/>
    <x v="2"/>
    <x v="19"/>
    <n v="1762"/>
    <n v="1762"/>
    <n v="1148.1600000000001"/>
    <n v="613.84"/>
    <x v="0"/>
    <x v="0"/>
    <x v="4"/>
    <x v="966"/>
    <s v="Média"/>
  </r>
  <r>
    <n v="605"/>
    <x v="1"/>
    <x v="2"/>
    <x v="2"/>
    <x v="1"/>
    <n v="1151"/>
    <x v="2"/>
    <x v="0"/>
    <x v="19"/>
    <n v="1756"/>
    <n v="1756"/>
    <n v="745.84"/>
    <n v="1010.16"/>
    <x v="2"/>
    <x v="1"/>
    <x v="4"/>
    <x v="967"/>
    <s v="Alta"/>
  </r>
  <r>
    <n v="544"/>
    <x v="176"/>
    <x v="1"/>
    <x v="1"/>
    <x v="2"/>
    <n v="1844"/>
    <x v="2"/>
    <x v="4"/>
    <x v="17"/>
    <n v="585"/>
    <n v="1755"/>
    <n v="708.46"/>
    <n v="1046.54"/>
    <x v="2"/>
    <x v="2"/>
    <x v="2"/>
    <x v="968"/>
    <s v="Alta"/>
  </r>
  <r>
    <n v="391"/>
    <x v="150"/>
    <x v="0"/>
    <x v="1"/>
    <x v="0"/>
    <n v="1844"/>
    <x v="2"/>
    <x v="3"/>
    <x v="14"/>
    <n v="282"/>
    <n v="1692"/>
    <n v="787.36"/>
    <n v="904.64"/>
    <x v="1"/>
    <x v="2"/>
    <x v="0"/>
    <x v="969"/>
    <s v="Alta"/>
  </r>
  <r>
    <n v="78"/>
    <x v="79"/>
    <x v="3"/>
    <x v="4"/>
    <x v="0"/>
    <n v="1139"/>
    <x v="1"/>
    <x v="3"/>
    <x v="12"/>
    <n v="205"/>
    <n v="1640"/>
    <n v="1124.1099999999999"/>
    <n v="515.89"/>
    <x v="1"/>
    <x v="0"/>
    <x v="3"/>
    <x v="970"/>
    <s v="Média"/>
  </r>
  <r>
    <n v="574"/>
    <x v="13"/>
    <x v="3"/>
    <x v="1"/>
    <x v="1"/>
    <n v="2766"/>
    <x v="0"/>
    <x v="3"/>
    <x v="15"/>
    <n v="325"/>
    <n v="1625"/>
    <n v="1219.4000000000001"/>
    <n v="405.6"/>
    <x v="1"/>
    <x v="2"/>
    <x v="2"/>
    <x v="971"/>
    <s v="Média"/>
  </r>
  <r>
    <n v="178"/>
    <x v="169"/>
    <x v="3"/>
    <x v="4"/>
    <x v="1"/>
    <n v="1918"/>
    <x v="1"/>
    <x v="2"/>
    <x v="12"/>
    <n v="200"/>
    <n v="1600"/>
    <n v="730.02"/>
    <n v="869.98"/>
    <x v="0"/>
    <x v="0"/>
    <x v="2"/>
    <x v="972"/>
    <s v="Alta"/>
  </r>
  <r>
    <n v="236"/>
    <x v="129"/>
    <x v="1"/>
    <x v="0"/>
    <x v="0"/>
    <n v="6853"/>
    <x v="1"/>
    <x v="4"/>
    <x v="13"/>
    <n v="226"/>
    <n v="1582"/>
    <n v="1004.89"/>
    <n v="577.11"/>
    <x v="2"/>
    <x v="0"/>
    <x v="3"/>
    <x v="973"/>
    <s v="Média"/>
  </r>
  <r>
    <n v="446"/>
    <x v="82"/>
    <x v="0"/>
    <x v="0"/>
    <x v="3"/>
    <n v="2598"/>
    <x v="0"/>
    <x v="1"/>
    <x v="16"/>
    <n v="389"/>
    <n v="1556"/>
    <n v="1160.23"/>
    <n v="395.77"/>
    <x v="1"/>
    <x v="2"/>
    <x v="2"/>
    <x v="974"/>
    <s v="Média"/>
  </r>
  <r>
    <n v="538"/>
    <x v="47"/>
    <x v="3"/>
    <x v="2"/>
    <x v="2"/>
    <n v="9621"/>
    <x v="2"/>
    <x v="4"/>
    <x v="18"/>
    <n v="771"/>
    <n v="1542"/>
    <n v="736.23"/>
    <n v="805.77"/>
    <x v="1"/>
    <x v="1"/>
    <x v="3"/>
    <x v="975"/>
    <s v="Alta"/>
  </r>
  <r>
    <n v="328"/>
    <x v="136"/>
    <x v="2"/>
    <x v="1"/>
    <x v="2"/>
    <n v="7576"/>
    <x v="0"/>
    <x v="3"/>
    <x v="19"/>
    <n v="1504"/>
    <n v="1504"/>
    <n v="974.83"/>
    <n v="529.16999999999996"/>
    <x v="0"/>
    <x v="1"/>
    <x v="3"/>
    <x v="976"/>
    <s v="Média"/>
  </r>
  <r>
    <n v="403"/>
    <x v="79"/>
    <x v="2"/>
    <x v="4"/>
    <x v="2"/>
    <n v="5406"/>
    <x v="2"/>
    <x v="0"/>
    <x v="19"/>
    <n v="1462"/>
    <n v="1462"/>
    <n v="1006.4"/>
    <n v="455.6"/>
    <x v="0"/>
    <x v="0"/>
    <x v="0"/>
    <x v="977"/>
    <s v="Média"/>
  </r>
  <r>
    <n v="325"/>
    <x v="157"/>
    <x v="1"/>
    <x v="4"/>
    <x v="0"/>
    <n v="6840"/>
    <x v="2"/>
    <x v="4"/>
    <x v="15"/>
    <n v="280"/>
    <n v="1400"/>
    <n v="1061.71"/>
    <n v="338.29"/>
    <x v="1"/>
    <x v="0"/>
    <x v="3"/>
    <x v="978"/>
    <s v="Média"/>
  </r>
  <r>
    <n v="793"/>
    <x v="43"/>
    <x v="0"/>
    <x v="3"/>
    <x v="2"/>
    <n v="5375"/>
    <x v="0"/>
    <x v="1"/>
    <x v="18"/>
    <n v="694"/>
    <n v="1388"/>
    <n v="986.83"/>
    <n v="401.17"/>
    <x v="2"/>
    <x v="1"/>
    <x v="4"/>
    <x v="979"/>
    <s v="Média"/>
  </r>
  <r>
    <n v="28"/>
    <x v="104"/>
    <x v="1"/>
    <x v="1"/>
    <x v="0"/>
    <n v="4995"/>
    <x v="1"/>
    <x v="3"/>
    <x v="18"/>
    <n v="662"/>
    <n v="1324"/>
    <n v="546.13"/>
    <n v="777.87"/>
    <x v="1"/>
    <x v="2"/>
    <x v="1"/>
    <x v="980"/>
    <s v="Alta"/>
  </r>
  <r>
    <n v="766"/>
    <x v="43"/>
    <x v="1"/>
    <x v="2"/>
    <x v="3"/>
    <n v="8856"/>
    <x v="2"/>
    <x v="4"/>
    <x v="19"/>
    <n v="1243"/>
    <n v="1243"/>
    <n v="993.42"/>
    <n v="249.58"/>
    <x v="1"/>
    <x v="0"/>
    <x v="0"/>
    <x v="981"/>
    <s v="Média"/>
  </r>
  <r>
    <n v="494"/>
    <x v="134"/>
    <x v="0"/>
    <x v="4"/>
    <x v="0"/>
    <n v="3735"/>
    <x v="0"/>
    <x v="1"/>
    <x v="15"/>
    <n v="248"/>
    <n v="1240"/>
    <n v="935.45"/>
    <n v="304.55"/>
    <x v="1"/>
    <x v="2"/>
    <x v="1"/>
    <x v="982"/>
    <s v="Média"/>
  </r>
  <r>
    <n v="443"/>
    <x v="107"/>
    <x v="0"/>
    <x v="0"/>
    <x v="3"/>
    <n v="1283"/>
    <x v="1"/>
    <x v="0"/>
    <x v="18"/>
    <n v="584"/>
    <n v="1168"/>
    <n v="483.08"/>
    <n v="684.92"/>
    <x v="2"/>
    <x v="2"/>
    <x v="0"/>
    <x v="983"/>
    <s v="Alta"/>
  </r>
  <r>
    <n v="969"/>
    <x v="141"/>
    <x v="0"/>
    <x v="0"/>
    <x v="0"/>
    <n v="1015"/>
    <x v="1"/>
    <x v="3"/>
    <x v="18"/>
    <n v="579"/>
    <n v="1158"/>
    <n v="761.28"/>
    <n v="396.72"/>
    <x v="2"/>
    <x v="1"/>
    <x v="1"/>
    <x v="984"/>
    <s v="Média"/>
  </r>
  <r>
    <n v="723"/>
    <x v="0"/>
    <x v="1"/>
    <x v="0"/>
    <x v="3"/>
    <n v="1589"/>
    <x v="2"/>
    <x v="3"/>
    <x v="17"/>
    <n v="378"/>
    <n v="1134"/>
    <n v="503.94"/>
    <n v="630.05999999999995"/>
    <x v="0"/>
    <x v="2"/>
    <x v="1"/>
    <x v="985"/>
    <s v="Alta"/>
  </r>
  <r>
    <n v="87"/>
    <x v="68"/>
    <x v="3"/>
    <x v="2"/>
    <x v="2"/>
    <n v="9688"/>
    <x v="1"/>
    <x v="1"/>
    <x v="18"/>
    <n v="551"/>
    <n v="1102"/>
    <n v="658.71"/>
    <n v="443.29"/>
    <x v="1"/>
    <x v="0"/>
    <x v="1"/>
    <x v="986"/>
    <s v="Alta"/>
  </r>
  <r>
    <n v="615"/>
    <x v="16"/>
    <x v="3"/>
    <x v="2"/>
    <x v="1"/>
    <n v="1045"/>
    <x v="0"/>
    <x v="0"/>
    <x v="19"/>
    <n v="976"/>
    <n v="976"/>
    <n v="422.13"/>
    <n v="553.87"/>
    <x v="2"/>
    <x v="2"/>
    <x v="2"/>
    <x v="987"/>
    <s v="Alta"/>
  </r>
  <r>
    <n v="264"/>
    <x v="89"/>
    <x v="1"/>
    <x v="4"/>
    <x v="3"/>
    <n v="8911"/>
    <x v="0"/>
    <x v="4"/>
    <x v="19"/>
    <n v="938"/>
    <n v="938"/>
    <n v="457.77"/>
    <n v="480.23"/>
    <x v="0"/>
    <x v="1"/>
    <x v="0"/>
    <x v="988"/>
    <s v="Alta"/>
  </r>
  <r>
    <n v="453"/>
    <x v="60"/>
    <x v="3"/>
    <x v="1"/>
    <x v="3"/>
    <n v="5421"/>
    <x v="2"/>
    <x v="4"/>
    <x v="18"/>
    <n v="469"/>
    <n v="938"/>
    <n v="717.07"/>
    <n v="220.93"/>
    <x v="0"/>
    <x v="2"/>
    <x v="1"/>
    <x v="989"/>
    <s v="Média"/>
  </r>
  <r>
    <n v="973"/>
    <x v="121"/>
    <x v="3"/>
    <x v="2"/>
    <x v="0"/>
    <n v="6706"/>
    <x v="0"/>
    <x v="0"/>
    <x v="19"/>
    <n v="890"/>
    <n v="890"/>
    <n v="566.84"/>
    <n v="323.16000000000003"/>
    <x v="2"/>
    <x v="0"/>
    <x v="3"/>
    <x v="990"/>
    <s v="Média"/>
  </r>
  <r>
    <n v="503"/>
    <x v="58"/>
    <x v="3"/>
    <x v="3"/>
    <x v="0"/>
    <n v="5410"/>
    <x v="0"/>
    <x v="4"/>
    <x v="17"/>
    <n v="272"/>
    <n v="816"/>
    <n v="500.33"/>
    <n v="315.67"/>
    <x v="1"/>
    <x v="0"/>
    <x v="3"/>
    <x v="991"/>
    <s v="Média"/>
  </r>
  <r>
    <n v="255"/>
    <x v="177"/>
    <x v="2"/>
    <x v="2"/>
    <x v="2"/>
    <n v="6820"/>
    <x v="1"/>
    <x v="2"/>
    <x v="19"/>
    <n v="796"/>
    <n v="796"/>
    <n v="611.14"/>
    <n v="184.86"/>
    <x v="2"/>
    <x v="1"/>
    <x v="1"/>
    <x v="992"/>
    <s v="Média"/>
  </r>
  <r>
    <n v="757"/>
    <x v="104"/>
    <x v="1"/>
    <x v="4"/>
    <x v="2"/>
    <n v="6265"/>
    <x v="1"/>
    <x v="3"/>
    <x v="18"/>
    <n v="363"/>
    <n v="726"/>
    <n v="358.86"/>
    <n v="367.14"/>
    <x v="2"/>
    <x v="2"/>
    <x v="2"/>
    <x v="993"/>
    <s v="Alta"/>
  </r>
  <r>
    <n v="65"/>
    <x v="30"/>
    <x v="0"/>
    <x v="2"/>
    <x v="0"/>
    <n v="2589"/>
    <x v="1"/>
    <x v="0"/>
    <x v="19"/>
    <n v="703"/>
    <n v="703"/>
    <n v="424.19"/>
    <n v="278.81"/>
    <x v="0"/>
    <x v="2"/>
    <x v="3"/>
    <x v="994"/>
    <s v="Média"/>
  </r>
  <r>
    <n v="363"/>
    <x v="167"/>
    <x v="3"/>
    <x v="2"/>
    <x v="3"/>
    <n v="8860"/>
    <x v="0"/>
    <x v="0"/>
    <x v="19"/>
    <n v="665"/>
    <n v="665"/>
    <n v="322.08999999999997"/>
    <n v="342.91"/>
    <x v="2"/>
    <x v="0"/>
    <x v="1"/>
    <x v="995"/>
    <s v="Alta"/>
  </r>
  <r>
    <n v="687"/>
    <x v="54"/>
    <x v="1"/>
    <x v="0"/>
    <x v="2"/>
    <n v="7043"/>
    <x v="0"/>
    <x v="2"/>
    <x v="19"/>
    <n v="551"/>
    <n v="551"/>
    <n v="297.58"/>
    <n v="253.42"/>
    <x v="0"/>
    <x v="1"/>
    <x v="0"/>
    <x v="996"/>
    <s v="Alta"/>
  </r>
  <r>
    <n v="97"/>
    <x v="44"/>
    <x v="3"/>
    <x v="4"/>
    <x v="0"/>
    <n v="3797"/>
    <x v="0"/>
    <x v="0"/>
    <x v="18"/>
    <n v="246"/>
    <n v="492"/>
    <n v="305.60000000000002"/>
    <n v="186.4"/>
    <x v="1"/>
    <x v="1"/>
    <x v="2"/>
    <x v="997"/>
    <s v="Média"/>
  </r>
  <r>
    <n v="769"/>
    <x v="95"/>
    <x v="1"/>
    <x v="3"/>
    <x v="1"/>
    <n v="2185"/>
    <x v="2"/>
    <x v="3"/>
    <x v="19"/>
    <n v="466"/>
    <n v="466"/>
    <n v="333.99"/>
    <n v="132.01"/>
    <x v="2"/>
    <x v="2"/>
    <x v="0"/>
    <x v="998"/>
    <s v="Média"/>
  </r>
  <r>
    <n v="244"/>
    <x v="39"/>
    <x v="1"/>
    <x v="2"/>
    <x v="3"/>
    <n v="7752"/>
    <x v="0"/>
    <x v="4"/>
    <x v="19"/>
    <n v="343"/>
    <n v="343"/>
    <n v="222.94"/>
    <n v="120.06"/>
    <x v="2"/>
    <x v="0"/>
    <x v="3"/>
    <x v="999"/>
    <s v="Méd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881AF9-EDC5-4423-9A31-828DAC438304}" name="Tabela dinâmica5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35">
  <location ref="F63:G66" firstHeaderRow="1" firstDataRow="1" firstDataCol="1"/>
  <pivotFields count="21">
    <pivotField numFmtId="1" showAll="0"/>
    <pivotField numFmtId="14" showAll="0">
      <items count="181">
        <item x="49"/>
        <item x="148"/>
        <item x="20"/>
        <item x="29"/>
        <item x="161"/>
        <item x="53"/>
        <item x="52"/>
        <item x="75"/>
        <item x="121"/>
        <item x="142"/>
        <item x="115"/>
        <item x="73"/>
        <item x="35"/>
        <item x="147"/>
        <item x="3"/>
        <item x="140"/>
        <item x="149"/>
        <item x="50"/>
        <item x="108"/>
        <item x="179"/>
        <item x="77"/>
        <item x="69"/>
        <item x="173"/>
        <item x="43"/>
        <item x="136"/>
        <item x="36"/>
        <item x="83"/>
        <item x="28"/>
        <item x="133"/>
        <item x="167"/>
        <item x="159"/>
        <item x="23"/>
        <item x="109"/>
        <item x="18"/>
        <item x="16"/>
        <item x="170"/>
        <item x="110"/>
        <item x="132"/>
        <item x="129"/>
        <item x="151"/>
        <item x="123"/>
        <item x="175"/>
        <item x="128"/>
        <item x="174"/>
        <item x="101"/>
        <item x="1"/>
        <item x="30"/>
        <item x="146"/>
        <item x="82"/>
        <item x="155"/>
        <item x="165"/>
        <item x="164"/>
        <item x="91"/>
        <item x="124"/>
        <item x="74"/>
        <item x="106"/>
        <item x="102"/>
        <item x="86"/>
        <item x="97"/>
        <item x="55"/>
        <item x="85"/>
        <item x="117"/>
        <item x="41"/>
        <item x="95"/>
        <item x="44"/>
        <item x="12"/>
        <item x="60"/>
        <item x="114"/>
        <item x="156"/>
        <item x="63"/>
        <item x="5"/>
        <item x="13"/>
        <item x="138"/>
        <item x="89"/>
        <item x="99"/>
        <item x="177"/>
        <item x="68"/>
        <item x="59"/>
        <item x="64"/>
        <item x="137"/>
        <item x="22"/>
        <item x="42"/>
        <item x="116"/>
        <item x="33"/>
        <item x="11"/>
        <item x="158"/>
        <item x="54"/>
        <item x="80"/>
        <item x="81"/>
        <item x="119"/>
        <item x="57"/>
        <item x="134"/>
        <item x="118"/>
        <item x="93"/>
        <item x="65"/>
        <item x="7"/>
        <item x="8"/>
        <item x="120"/>
        <item x="9"/>
        <item x="100"/>
        <item x="37"/>
        <item x="61"/>
        <item x="14"/>
        <item x="58"/>
        <item x="21"/>
        <item x="32"/>
        <item x="111"/>
        <item x="135"/>
        <item x="17"/>
        <item x="172"/>
        <item x="38"/>
        <item x="4"/>
        <item x="145"/>
        <item x="25"/>
        <item x="92"/>
        <item x="171"/>
        <item x="130"/>
        <item x="87"/>
        <item x="96"/>
        <item x="105"/>
        <item x="84"/>
        <item x="166"/>
        <item x="79"/>
        <item x="98"/>
        <item x="139"/>
        <item x="62"/>
        <item x="71"/>
        <item x="178"/>
        <item x="153"/>
        <item x="31"/>
        <item x="48"/>
        <item x="56"/>
        <item x="51"/>
        <item x="103"/>
        <item x="67"/>
        <item x="26"/>
        <item x="104"/>
        <item x="40"/>
        <item x="90"/>
        <item x="144"/>
        <item x="152"/>
        <item x="162"/>
        <item x="34"/>
        <item x="125"/>
        <item x="163"/>
        <item x="154"/>
        <item x="72"/>
        <item x="39"/>
        <item x="47"/>
        <item x="10"/>
        <item x="141"/>
        <item x="6"/>
        <item x="176"/>
        <item x="76"/>
        <item x="127"/>
        <item x="168"/>
        <item x="126"/>
        <item x="94"/>
        <item x="24"/>
        <item x="0"/>
        <item x="27"/>
        <item x="78"/>
        <item x="157"/>
        <item x="160"/>
        <item x="150"/>
        <item x="88"/>
        <item x="131"/>
        <item x="45"/>
        <item x="2"/>
        <item x="169"/>
        <item x="107"/>
        <item x="70"/>
        <item x="122"/>
        <item x="46"/>
        <item x="113"/>
        <item x="143"/>
        <item x="112"/>
        <item x="15"/>
        <item x="66"/>
        <item x="19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6">
        <item x="1"/>
        <item x="4"/>
        <item x="0"/>
        <item x="3"/>
        <item x="2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numFmtId="1" showAll="0"/>
    <pivotField axis="axisRow" showAll="0">
      <items count="4">
        <item x="1"/>
        <item x="0"/>
        <item x="2"/>
        <item t="default"/>
      </items>
    </pivotField>
    <pivotField showAll="0">
      <items count="6">
        <item h="1" x="4"/>
        <item x="2"/>
        <item h="1" x="1"/>
        <item h="1" x="0"/>
        <item h="1" x="3"/>
        <item t="default"/>
      </items>
    </pivotField>
    <pivotField numFmtId="1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44" showAll="0"/>
    <pivotField numFmtId="44" showAll="0"/>
    <pivotField numFmtId="44" showAll="0"/>
    <pivotField dataField="1" numFmtId="44" showAll="0"/>
    <pivotField showAll="0">
      <items count="4">
        <item x="0"/>
        <item h="1" x="1"/>
        <item h="1"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6">
        <item x="4"/>
        <item x="3"/>
        <item x="1"/>
        <item x="2"/>
        <item x="0"/>
        <item t="default"/>
      </items>
    </pivotField>
    <pivotField numFmtId="9" showAll="0">
      <items count="1001">
        <item x="232"/>
        <item x="806"/>
        <item x="707"/>
        <item x="981"/>
        <item x="767"/>
        <item x="26"/>
        <item x="346"/>
        <item x="636"/>
        <item x="698"/>
        <item x="171"/>
        <item x="164"/>
        <item x="291"/>
        <item x="206"/>
        <item x="303"/>
        <item x="530"/>
        <item x="898"/>
        <item x="937"/>
        <item x="417"/>
        <item x="236"/>
        <item x="775"/>
        <item x="522"/>
        <item x="318"/>
        <item x="751"/>
        <item x="850"/>
        <item x="319"/>
        <item x="735"/>
        <item x="294"/>
        <item x="6"/>
        <item x="377"/>
        <item x="327"/>
        <item x="63"/>
        <item x="22"/>
        <item x="581"/>
        <item x="375"/>
        <item x="58"/>
        <item x="838"/>
        <item x="873"/>
        <item x="194"/>
        <item x="598"/>
        <item x="521"/>
        <item x="677"/>
        <item x="886"/>
        <item x="613"/>
        <item x="537"/>
        <item x="965"/>
        <item x="801"/>
        <item x="868"/>
        <item x="652"/>
        <item x="638"/>
        <item x="813"/>
        <item x="940"/>
        <item x="270"/>
        <item x="173"/>
        <item x="398"/>
        <item x="3"/>
        <item x="309"/>
        <item x="383"/>
        <item x="592"/>
        <item x="354"/>
        <item x="456"/>
        <item x="716"/>
        <item x="116"/>
        <item x="378"/>
        <item x="803"/>
        <item x="874"/>
        <item x="340"/>
        <item x="367"/>
        <item x="639"/>
        <item x="576"/>
        <item x="17"/>
        <item x="180"/>
        <item x="992"/>
        <item x="509"/>
        <item x="50"/>
        <item x="885"/>
        <item x="507"/>
        <item x="193"/>
        <item x="723"/>
        <item x="989"/>
        <item x="705"/>
        <item x="221"/>
        <item x="36"/>
        <item x="725"/>
        <item x="401"/>
        <item x="207"/>
        <item x="600"/>
        <item x="402"/>
        <item x="450"/>
        <item x="978"/>
        <item x="864"/>
        <item x="569"/>
        <item x="90"/>
        <item x="244"/>
        <item x="827"/>
        <item x="934"/>
        <item x="71"/>
        <item x="503"/>
        <item x="772"/>
        <item x="982"/>
        <item x="480"/>
        <item x="66"/>
        <item x="459"/>
        <item x="746"/>
        <item x="479"/>
        <item x="645"/>
        <item x="628"/>
        <item x="436"/>
        <item x="73"/>
        <item x="308"/>
        <item x="971"/>
        <item x="167"/>
        <item x="121"/>
        <item x="706"/>
        <item x="836"/>
        <item x="267"/>
        <item x="713"/>
        <item x="807"/>
        <item x="795"/>
        <item x="542"/>
        <item x="855"/>
        <item x="900"/>
        <item x="672"/>
        <item x="211"/>
        <item x="974"/>
        <item x="437"/>
        <item x="738"/>
        <item x="670"/>
        <item x="938"/>
        <item x="442"/>
        <item x="618"/>
        <item x="117"/>
        <item x="947"/>
        <item x="843"/>
        <item x="92"/>
        <item x="567"/>
        <item x="847"/>
        <item x="784"/>
        <item x="310"/>
        <item x="169"/>
        <item x="794"/>
        <item x="673"/>
        <item x="631"/>
        <item x="126"/>
        <item x="654"/>
        <item x="817"/>
        <item x="235"/>
        <item x="86"/>
        <item x="614"/>
        <item x="508"/>
        <item x="717"/>
        <item x="133"/>
        <item x="778"/>
        <item x="769"/>
        <item x="364"/>
        <item x="734"/>
        <item x="694"/>
        <item x="77"/>
        <item x="68"/>
        <item x="585"/>
        <item x="501"/>
        <item x="603"/>
        <item x="559"/>
        <item x="959"/>
        <item x="356"/>
        <item x="357"/>
        <item x="400"/>
        <item x="464"/>
        <item x="511"/>
        <item x="130"/>
        <item x="826"/>
        <item x="612"/>
        <item x="602"/>
        <item x="690"/>
        <item x="414"/>
        <item x="35"/>
        <item x="834"/>
        <item x="499"/>
        <item x="230"/>
        <item x="896"/>
        <item x="785"/>
        <item x="762"/>
        <item x="624"/>
        <item x="680"/>
        <item x="329"/>
        <item x="245"/>
        <item x="424"/>
        <item x="830"/>
        <item x="727"/>
        <item x="956"/>
        <item x="732"/>
        <item x="661"/>
        <item x="584"/>
        <item x="960"/>
        <item x="998"/>
        <item x="282"/>
        <item x="927"/>
        <item x="789"/>
        <item x="141"/>
        <item x="448"/>
        <item x="871"/>
        <item x="888"/>
        <item x="154"/>
        <item x="262"/>
        <item x="146"/>
        <item x="667"/>
        <item x="797"/>
        <item x="558"/>
        <item x="979"/>
        <item x="683"/>
        <item x="814"/>
        <item x="204"/>
        <item x="361"/>
        <item x="321"/>
        <item x="272"/>
        <item x="32"/>
        <item x="764"/>
        <item x="463"/>
        <item x="662"/>
        <item x="829"/>
        <item x="857"/>
        <item x="880"/>
        <item x="296"/>
        <item x="113"/>
        <item x="229"/>
        <item x="685"/>
        <item x="593"/>
        <item x="41"/>
        <item x="562"/>
        <item x="954"/>
        <item x="561"/>
        <item x="453"/>
        <item x="856"/>
        <item x="104"/>
        <item x="88"/>
        <item x="276"/>
        <item x="835"/>
        <item x="502"/>
        <item x="845"/>
        <item x="475"/>
        <item x="53"/>
        <item x="87"/>
        <item x="744"/>
        <item x="444"/>
        <item x="833"/>
        <item x="197"/>
        <item x="534"/>
        <item x="586"/>
        <item x="407"/>
        <item x="214"/>
        <item x="96"/>
        <item x="887"/>
        <item x="279"/>
        <item x="910"/>
        <item x="523"/>
        <item x="861"/>
        <item x="527"/>
        <item x="666"/>
        <item x="469"/>
        <item x="513"/>
        <item x="260"/>
        <item x="370"/>
        <item x="640"/>
        <item x="722"/>
        <item x="752"/>
        <item x="420"/>
        <item x="393"/>
        <item x="687"/>
        <item x="977"/>
        <item x="332"/>
        <item x="381"/>
        <item x="715"/>
        <item x="596"/>
        <item x="924"/>
        <item x="266"/>
        <item x="859"/>
        <item x="970"/>
        <item x="525"/>
        <item x="748"/>
        <item x="684"/>
        <item x="671"/>
        <item x="135"/>
        <item x="79"/>
        <item x="408"/>
        <item x="390"/>
        <item x="867"/>
        <item x="952"/>
        <item x="564"/>
        <item x="109"/>
        <item x="16"/>
        <item x="218"/>
        <item x="159"/>
        <item x="609"/>
        <item x="901"/>
        <item x="686"/>
        <item x="820"/>
        <item x="78"/>
        <item x="198"/>
        <item x="731"/>
        <item x="60"/>
        <item x="520"/>
        <item x="372"/>
        <item x="821"/>
        <item x="679"/>
        <item x="933"/>
        <item x="894"/>
        <item x="837"/>
        <item x="107"/>
        <item x="771"/>
        <item x="740"/>
        <item x="152"/>
        <item x="505"/>
        <item x="489"/>
        <item x="38"/>
        <item x="57"/>
        <item x="743"/>
        <item x="796"/>
        <item x="222"/>
        <item x="394"/>
        <item x="494"/>
        <item x="434"/>
        <item x="659"/>
        <item x="515"/>
        <item x="336"/>
        <item x="122"/>
        <item x="802"/>
        <item x="548"/>
        <item x="451"/>
        <item x="256"/>
        <item x="831"/>
        <item x="311"/>
        <item x="44"/>
        <item x="425"/>
        <item x="663"/>
        <item x="729"/>
        <item x="46"/>
        <item x="902"/>
        <item x="45"/>
        <item x="664"/>
        <item x="254"/>
        <item x="301"/>
        <item x="704"/>
        <item x="531"/>
        <item x="961"/>
        <item x="93"/>
        <item x="753"/>
        <item x="930"/>
        <item x="695"/>
        <item x="239"/>
        <item x="984"/>
        <item x="409"/>
        <item x="621"/>
        <item x="604"/>
        <item x="893"/>
        <item x="30"/>
        <item x="168"/>
        <item x="0"/>
        <item x="349"/>
        <item x="307"/>
        <item x="579"/>
        <item x="730"/>
        <item x="682"/>
        <item x="611"/>
        <item x="247"/>
        <item x="205"/>
        <item x="966"/>
        <item x="94"/>
        <item x="439"/>
        <item x="615"/>
        <item x="999"/>
        <item x="626"/>
        <item x="264"/>
        <item x="939"/>
        <item x="492"/>
        <item x="875"/>
        <item x="514"/>
        <item x="976"/>
        <item x="131"/>
        <item x="571"/>
        <item x="163"/>
        <item x="175"/>
        <item x="760"/>
        <item x="793"/>
        <item x="816"/>
        <item x="69"/>
        <item x="780"/>
        <item x="324"/>
        <item x="415"/>
        <item x="392"/>
        <item x="47"/>
        <item x="265"/>
        <item x="941"/>
        <item x="305"/>
        <item x="269"/>
        <item x="676"/>
        <item x="700"/>
        <item x="341"/>
        <item x="808"/>
        <item x="990"/>
        <item x="917"/>
        <item x="1"/>
        <item x="756"/>
        <item x="914"/>
        <item x="423"/>
        <item x="973"/>
        <item x="458"/>
        <item x="432"/>
        <item x="62"/>
        <item x="913"/>
        <item x="478"/>
        <item x="693"/>
        <item x="326"/>
        <item x="555"/>
        <item x="739"/>
        <item x="619"/>
        <item x="284"/>
        <item x="750"/>
        <item x="892"/>
        <item x="28"/>
        <item x="374"/>
        <item x="157"/>
        <item x="67"/>
        <item x="379"/>
        <item x="42"/>
        <item x="226"/>
        <item x="643"/>
        <item x="911"/>
        <item x="461"/>
        <item x="61"/>
        <item x="299"/>
        <item x="100"/>
        <item x="546"/>
        <item x="536"/>
        <item x="790"/>
        <item x="373"/>
        <item x="890"/>
        <item x="166"/>
        <item x="348"/>
        <item x="656"/>
        <item x="95"/>
        <item x="920"/>
        <item x="506"/>
        <item x="238"/>
        <item x="783"/>
        <item x="325"/>
        <item x="823"/>
        <item x="849"/>
        <item x="257"/>
        <item x="997"/>
        <item x="606"/>
        <item x="800"/>
        <item x="819"/>
        <item x="553"/>
        <item x="779"/>
        <item x="641"/>
        <item x="599"/>
        <item x="240"/>
        <item x="386"/>
        <item x="457"/>
        <item x="429"/>
        <item x="650"/>
        <item x="495"/>
        <item x="140"/>
        <item x="487"/>
        <item x="529"/>
        <item x="411"/>
        <item x="991"/>
        <item x="909"/>
        <item x="848"/>
        <item x="40"/>
        <item x="200"/>
        <item x="227"/>
        <item x="590"/>
        <item x="805"/>
        <item x="443"/>
        <item x="763"/>
        <item x="500"/>
        <item x="74"/>
        <item x="352"/>
        <item x="241"/>
        <item x="263"/>
        <item x="935"/>
        <item x="360"/>
        <item x="455"/>
        <item x="781"/>
        <item x="359"/>
        <item x="132"/>
        <item x="433"/>
        <item x="382"/>
        <item x="577"/>
        <item x="101"/>
        <item x="237"/>
        <item x="994"/>
        <item x="353"/>
        <item x="811"/>
        <item x="297"/>
        <item x="108"/>
        <item x="19"/>
        <item x="339"/>
        <item x="396"/>
        <item x="460"/>
        <item x="246"/>
        <item x="607"/>
        <item x="430"/>
        <item x="105"/>
        <item x="528"/>
        <item x="724"/>
        <item x="186"/>
        <item x="290"/>
        <item x="986"/>
        <item x="574"/>
        <item x="832"/>
        <item x="158"/>
        <item x="277"/>
        <item x="234"/>
        <item x="426"/>
        <item x="52"/>
        <item x="822"/>
        <item x="23"/>
        <item x="881"/>
        <item x="125"/>
        <item x="951"/>
        <item x="627"/>
        <item x="810"/>
        <item x="343"/>
        <item x="431"/>
        <item x="178"/>
        <item x="83"/>
        <item x="904"/>
        <item x="566"/>
        <item x="213"/>
        <item x="147"/>
        <item x="563"/>
        <item x="595"/>
        <item x="273"/>
        <item x="773"/>
        <item x="846"/>
        <item x="295"/>
        <item x="741"/>
        <item x="549"/>
        <item x="65"/>
        <item x="388"/>
        <item x="208"/>
        <item x="37"/>
        <item x="418"/>
        <item x="809"/>
        <item x="13"/>
        <item x="347"/>
        <item x="405"/>
        <item x="759"/>
        <item x="919"/>
        <item x="286"/>
        <item x="471"/>
        <item x="371"/>
        <item x="702"/>
        <item x="76"/>
        <item x="91"/>
        <item x="539"/>
        <item x="151"/>
        <item x="882"/>
        <item x="192"/>
        <item x="757"/>
        <item x="9"/>
        <item x="421"/>
        <item x="259"/>
        <item x="573"/>
        <item x="610"/>
        <item x="298"/>
        <item x="223"/>
        <item x="288"/>
        <item x="844"/>
        <item x="314"/>
        <item x="98"/>
        <item x="145"/>
        <item x="362"/>
        <item x="283"/>
        <item x="419"/>
        <item x="80"/>
        <item x="99"/>
        <item x="608"/>
        <item x="518"/>
        <item x="895"/>
        <item x="190"/>
        <item x="21"/>
        <item x="560"/>
        <item x="322"/>
        <item x="210"/>
        <item x="416"/>
        <item x="380"/>
        <item x="582"/>
        <item x="228"/>
        <item x="112"/>
        <item x="688"/>
        <item x="957"/>
        <item x="34"/>
        <item x="691"/>
        <item x="786"/>
        <item x="719"/>
        <item x="54"/>
        <item x="674"/>
        <item x="302"/>
        <item x="517"/>
        <item x="39"/>
        <item x="467"/>
        <item x="220"/>
        <item x="465"/>
        <item x="815"/>
        <item x="255"/>
        <item x="438"/>
        <item x="427"/>
        <item x="907"/>
        <item x="224"/>
        <item x="285"/>
        <item x="148"/>
        <item x="547"/>
        <item x="681"/>
        <item x="925"/>
        <item x="916"/>
        <item x="484"/>
        <item x="428"/>
        <item x="589"/>
        <item x="474"/>
        <item x="84"/>
        <item x="219"/>
        <item x="653"/>
        <item x="605"/>
        <item x="29"/>
        <item x="85"/>
        <item x="287"/>
        <item x="331"/>
        <item x="449"/>
        <item x="355"/>
        <item x="637"/>
        <item x="923"/>
        <item x="199"/>
        <item x="710"/>
        <item x="278"/>
        <item x="293"/>
        <item x="572"/>
        <item x="138"/>
        <item x="312"/>
        <item x="2"/>
        <item x="860"/>
        <item x="955"/>
        <item x="747"/>
        <item x="996"/>
        <item x="877"/>
        <item x="215"/>
        <item x="306"/>
        <item x="482"/>
        <item x="43"/>
        <item x="944"/>
        <item x="540"/>
        <item x="385"/>
        <item x="351"/>
        <item x="481"/>
        <item x="14"/>
        <item x="27"/>
        <item x="410"/>
        <item x="172"/>
        <item x="103"/>
        <item x="70"/>
        <item x="953"/>
        <item x="403"/>
        <item x="225"/>
        <item x="498"/>
        <item x="782"/>
        <item x="568"/>
        <item x="102"/>
        <item x="274"/>
        <item x="658"/>
        <item x="289"/>
        <item x="137"/>
        <item x="454"/>
        <item x="519"/>
        <item x="841"/>
        <item x="854"/>
        <item x="594"/>
        <item x="15"/>
        <item x="127"/>
        <item x="921"/>
        <item x="64"/>
        <item x="853"/>
        <item x="333"/>
        <item x="188"/>
        <item x="56"/>
        <item x="544"/>
        <item x="774"/>
        <item x="304"/>
        <item x="216"/>
        <item x="616"/>
        <item x="897"/>
        <item x="721"/>
        <item x="134"/>
        <item x="473"/>
        <item x="316"/>
        <item x="81"/>
        <item x="804"/>
        <item x="72"/>
        <item x="472"/>
        <item x="642"/>
        <item x="649"/>
        <item x="11"/>
        <item x="709"/>
        <item x="839"/>
        <item x="185"/>
        <item x="368"/>
        <item x="931"/>
        <item x="692"/>
        <item x="338"/>
        <item x="665"/>
        <item x="483"/>
        <item x="182"/>
        <item x="818"/>
        <item x="156"/>
        <item x="170"/>
        <item x="840"/>
        <item x="184"/>
        <item x="550"/>
        <item x="477"/>
        <item x="726"/>
        <item x="300"/>
        <item x="708"/>
        <item x="648"/>
        <item x="929"/>
        <item x="634"/>
        <item x="552"/>
        <item x="625"/>
        <item x="891"/>
        <item x="124"/>
        <item x="535"/>
        <item x="655"/>
        <item x="620"/>
        <item x="791"/>
        <item x="926"/>
        <item x="413"/>
        <item x="601"/>
        <item x="675"/>
        <item x="143"/>
        <item x="350"/>
        <item x="749"/>
        <item x="668"/>
        <item x="858"/>
        <item x="993"/>
        <item x="745"/>
        <item x="330"/>
        <item x="144"/>
        <item x="943"/>
        <item x="118"/>
        <item x="196"/>
        <item x="320"/>
        <item x="657"/>
        <item x="488"/>
        <item x="718"/>
        <item x="486"/>
        <item x="422"/>
        <item x="884"/>
        <item x="497"/>
        <item x="575"/>
        <item x="532"/>
        <item x="770"/>
        <item x="889"/>
        <item x="988"/>
        <item x="111"/>
        <item x="139"/>
        <item x="4"/>
        <item x="120"/>
        <item x="209"/>
        <item x="711"/>
        <item x="512"/>
        <item x="995"/>
        <item x="114"/>
        <item x="275"/>
        <item x="384"/>
        <item x="476"/>
        <item x="470"/>
        <item x="578"/>
        <item x="633"/>
        <item x="55"/>
        <item x="110"/>
        <item x="588"/>
        <item x="950"/>
        <item x="153"/>
        <item x="712"/>
        <item x="866"/>
        <item x="323"/>
        <item x="526"/>
        <item x="538"/>
        <item x="962"/>
        <item x="452"/>
        <item x="975"/>
        <item x="366"/>
        <item x="758"/>
        <item x="369"/>
        <item x="928"/>
        <item x="872"/>
        <item x="161"/>
        <item x="865"/>
        <item x="20"/>
        <item x="97"/>
        <item x="404"/>
        <item x="75"/>
        <item x="395"/>
        <item x="788"/>
        <item x="798"/>
        <item x="587"/>
        <item x="491"/>
        <item x="948"/>
        <item x="317"/>
        <item x="768"/>
        <item x="617"/>
        <item x="363"/>
        <item x="242"/>
        <item x="59"/>
        <item x="123"/>
        <item x="622"/>
        <item x="5"/>
        <item x="337"/>
        <item x="689"/>
        <item x="669"/>
        <item x="949"/>
        <item x="24"/>
        <item x="969"/>
        <item x="714"/>
        <item x="776"/>
        <item x="243"/>
        <item x="876"/>
        <item x="755"/>
        <item x="565"/>
        <item x="202"/>
        <item x="765"/>
        <item x="720"/>
        <item x="766"/>
        <item x="233"/>
        <item x="115"/>
        <item x="699"/>
        <item x="597"/>
        <item x="462"/>
        <item x="376"/>
        <item x="660"/>
        <item x="554"/>
        <item x="946"/>
        <item x="441"/>
        <item x="869"/>
        <item x="972"/>
        <item x="179"/>
        <item x="251"/>
        <item x="580"/>
        <item x="912"/>
        <item x="493"/>
        <item x="82"/>
        <item x="33"/>
        <item x="932"/>
        <item x="440"/>
        <item x="824"/>
        <item x="787"/>
        <item x="936"/>
        <item x="12"/>
        <item x="504"/>
        <item x="728"/>
        <item x="446"/>
        <item x="899"/>
        <item x="201"/>
        <item x="435"/>
        <item x="129"/>
        <item x="7"/>
        <item x="922"/>
        <item x="387"/>
        <item x="48"/>
        <item x="825"/>
        <item x="165"/>
        <item x="292"/>
        <item x="31"/>
        <item x="905"/>
        <item x="365"/>
        <item x="958"/>
        <item x="271"/>
        <item x="345"/>
        <item x="342"/>
        <item x="883"/>
        <item x="985"/>
        <item x="183"/>
        <item x="315"/>
        <item x="632"/>
        <item x="524"/>
        <item x="736"/>
        <item x="155"/>
        <item x="181"/>
        <item x="391"/>
        <item x="496"/>
        <item x="629"/>
        <item x="635"/>
        <item x="703"/>
        <item x="701"/>
        <item x="623"/>
        <item x="162"/>
        <item x="261"/>
        <item x="551"/>
        <item x="49"/>
        <item x="812"/>
        <item x="761"/>
        <item x="485"/>
        <item x="799"/>
        <item x="468"/>
        <item x="583"/>
        <item x="516"/>
        <item x="89"/>
        <item x="149"/>
        <item x="697"/>
        <item x="737"/>
        <item x="878"/>
        <item x="987"/>
        <item x="177"/>
        <item x="490"/>
        <item x="644"/>
        <item x="253"/>
        <item x="908"/>
        <item x="212"/>
        <item x="557"/>
        <item x="777"/>
        <item x="945"/>
        <item x="543"/>
        <item x="248"/>
        <item x="591"/>
        <item x="903"/>
        <item x="647"/>
        <item x="191"/>
        <item x="510"/>
        <item x="399"/>
        <item x="249"/>
        <item x="862"/>
        <item x="51"/>
        <item x="119"/>
        <item x="630"/>
        <item x="967"/>
        <item x="174"/>
        <item x="187"/>
        <item x="217"/>
        <item x="556"/>
        <item x="678"/>
        <item x="106"/>
        <item x="258"/>
        <item x="160"/>
        <item x="334"/>
        <item x="533"/>
        <item x="252"/>
        <item x="851"/>
        <item x="963"/>
        <item x="696"/>
        <item x="879"/>
        <item x="335"/>
        <item x="189"/>
        <item x="863"/>
        <item x="8"/>
        <item x="250"/>
        <item x="915"/>
        <item x="466"/>
        <item x="918"/>
        <item x="983"/>
        <item x="128"/>
        <item x="852"/>
        <item x="980"/>
        <item x="742"/>
        <item x="136"/>
        <item x="268"/>
        <item x="150"/>
        <item x="281"/>
        <item x="344"/>
        <item x="445"/>
        <item x="313"/>
        <item x="25"/>
        <item x="176"/>
        <item x="18"/>
        <item x="906"/>
        <item x="870"/>
        <item x="828"/>
        <item x="842"/>
        <item x="406"/>
        <item x="397"/>
        <item x="389"/>
        <item x="142"/>
        <item x="10"/>
        <item x="328"/>
        <item x="964"/>
        <item x="792"/>
        <item x="203"/>
        <item x="754"/>
        <item x="280"/>
        <item x="195"/>
        <item x="968"/>
        <item x="651"/>
        <item x="545"/>
        <item x="570"/>
        <item x="942"/>
        <item x="358"/>
        <item x="733"/>
        <item x="541"/>
        <item x="231"/>
        <item x="646"/>
        <item x="412"/>
        <item x="447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h="1" sd="0" x="0"/>
        <item sd="0" x="1"/>
        <item h="1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 sd="0"/>
      </items>
    </pivotField>
    <pivotField dragToRow="0" dragToCol="0" dragToPage="0" showAll="0" defaultSubtotal="0"/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Soma de Lucro" fld="12" baseField="0" baseItem="0"/>
  </dataFields>
  <chartFormats count="6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57166-D065-49DE-B23B-7AF959B97C6A}" name="Tabela dinâmica6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8">
  <location ref="A77:E78" firstHeaderRow="0" firstDataRow="1" firstDataCol="0"/>
  <pivotFields count="21">
    <pivotField numFmtId="1" showAll="0"/>
    <pivotField numFmtId="14" showAll="0">
      <items count="181">
        <item x="49"/>
        <item x="148"/>
        <item x="20"/>
        <item x="29"/>
        <item x="161"/>
        <item x="53"/>
        <item x="52"/>
        <item x="75"/>
        <item x="121"/>
        <item x="142"/>
        <item x="115"/>
        <item x="73"/>
        <item x="35"/>
        <item x="147"/>
        <item x="3"/>
        <item x="140"/>
        <item x="149"/>
        <item x="50"/>
        <item x="108"/>
        <item x="179"/>
        <item x="77"/>
        <item x="69"/>
        <item x="173"/>
        <item x="43"/>
        <item x="136"/>
        <item x="36"/>
        <item x="83"/>
        <item x="28"/>
        <item x="133"/>
        <item x="167"/>
        <item x="159"/>
        <item x="23"/>
        <item x="109"/>
        <item x="18"/>
        <item x="16"/>
        <item x="170"/>
        <item x="110"/>
        <item x="132"/>
        <item x="129"/>
        <item x="151"/>
        <item x="123"/>
        <item x="175"/>
        <item x="128"/>
        <item x="174"/>
        <item x="101"/>
        <item x="1"/>
        <item x="30"/>
        <item x="146"/>
        <item x="82"/>
        <item x="155"/>
        <item x="165"/>
        <item x="164"/>
        <item x="91"/>
        <item x="124"/>
        <item x="74"/>
        <item x="106"/>
        <item x="102"/>
        <item x="86"/>
        <item x="97"/>
        <item x="55"/>
        <item x="85"/>
        <item x="117"/>
        <item x="41"/>
        <item x="95"/>
        <item x="44"/>
        <item x="12"/>
        <item x="60"/>
        <item x="114"/>
        <item x="156"/>
        <item x="63"/>
        <item x="5"/>
        <item x="13"/>
        <item x="138"/>
        <item x="89"/>
        <item x="99"/>
        <item x="177"/>
        <item x="68"/>
        <item x="59"/>
        <item x="64"/>
        <item x="137"/>
        <item x="22"/>
        <item x="42"/>
        <item x="116"/>
        <item x="33"/>
        <item x="11"/>
        <item x="158"/>
        <item x="54"/>
        <item x="80"/>
        <item x="81"/>
        <item x="119"/>
        <item x="57"/>
        <item x="134"/>
        <item x="118"/>
        <item x="93"/>
        <item x="65"/>
        <item x="7"/>
        <item x="8"/>
        <item x="120"/>
        <item x="9"/>
        <item x="100"/>
        <item x="37"/>
        <item x="61"/>
        <item x="14"/>
        <item x="58"/>
        <item x="21"/>
        <item x="32"/>
        <item x="111"/>
        <item x="135"/>
        <item x="17"/>
        <item x="172"/>
        <item x="38"/>
        <item x="4"/>
        <item x="145"/>
        <item x="25"/>
        <item x="92"/>
        <item x="171"/>
        <item x="130"/>
        <item x="87"/>
        <item x="96"/>
        <item x="105"/>
        <item x="84"/>
        <item x="166"/>
        <item x="79"/>
        <item x="98"/>
        <item x="139"/>
        <item x="62"/>
        <item x="71"/>
        <item x="178"/>
        <item x="153"/>
        <item x="31"/>
        <item x="48"/>
        <item x="56"/>
        <item x="51"/>
        <item x="103"/>
        <item x="67"/>
        <item x="26"/>
        <item x="104"/>
        <item x="40"/>
        <item x="90"/>
        <item x="144"/>
        <item x="152"/>
        <item x="162"/>
        <item x="34"/>
        <item x="125"/>
        <item x="163"/>
        <item x="154"/>
        <item x="72"/>
        <item x="39"/>
        <item x="47"/>
        <item x="10"/>
        <item x="141"/>
        <item x="6"/>
        <item x="176"/>
        <item x="76"/>
        <item x="127"/>
        <item x="168"/>
        <item x="126"/>
        <item x="94"/>
        <item x="24"/>
        <item x="0"/>
        <item x="27"/>
        <item x="78"/>
        <item x="157"/>
        <item x="160"/>
        <item x="150"/>
        <item x="88"/>
        <item x="131"/>
        <item x="45"/>
        <item x="2"/>
        <item x="169"/>
        <item x="107"/>
        <item x="70"/>
        <item x="122"/>
        <item x="46"/>
        <item x="113"/>
        <item x="143"/>
        <item x="112"/>
        <item x="15"/>
        <item x="66"/>
        <item x="19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6">
        <item x="1"/>
        <item x="4"/>
        <item x="0"/>
        <item x="3"/>
        <item x="2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numFmtId="1" showAll="0"/>
    <pivotField showAll="0">
      <items count="4">
        <item x="1"/>
        <item x="0"/>
        <item x="2"/>
        <item t="default"/>
      </items>
    </pivotField>
    <pivotField showAll="0">
      <items count="6">
        <item h="1" x="4"/>
        <item x="2"/>
        <item h="1" x="1"/>
        <item h="1" x="0"/>
        <item h="1" x="3"/>
        <item t="default"/>
      </items>
    </pivotField>
    <pivotField dataField="1" numFmtId="1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44" showAll="0"/>
    <pivotField dataField="1" numFmtId="44" showAll="0"/>
    <pivotField dataField="1" numFmtId="44" showAll="0"/>
    <pivotField dataField="1" numFmtId="44" showAll="0"/>
    <pivotField showAll="0">
      <items count="4">
        <item x="0"/>
        <item h="1" x="1"/>
        <item h="1"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6">
        <item x="4"/>
        <item x="3"/>
        <item x="1"/>
        <item x="2"/>
        <item x="0"/>
        <item t="default"/>
      </items>
    </pivotField>
    <pivotField numFmtId="9" showAll="0">
      <items count="1001">
        <item x="232"/>
        <item x="806"/>
        <item x="707"/>
        <item x="981"/>
        <item x="767"/>
        <item x="26"/>
        <item x="346"/>
        <item x="636"/>
        <item x="698"/>
        <item x="171"/>
        <item x="164"/>
        <item x="291"/>
        <item x="206"/>
        <item x="303"/>
        <item x="530"/>
        <item x="898"/>
        <item x="937"/>
        <item x="417"/>
        <item x="236"/>
        <item x="775"/>
        <item x="522"/>
        <item x="318"/>
        <item x="751"/>
        <item x="850"/>
        <item x="319"/>
        <item x="735"/>
        <item x="294"/>
        <item x="6"/>
        <item x="377"/>
        <item x="327"/>
        <item x="63"/>
        <item x="22"/>
        <item x="581"/>
        <item x="375"/>
        <item x="58"/>
        <item x="838"/>
        <item x="873"/>
        <item x="194"/>
        <item x="598"/>
        <item x="521"/>
        <item x="677"/>
        <item x="886"/>
        <item x="613"/>
        <item x="537"/>
        <item x="965"/>
        <item x="801"/>
        <item x="868"/>
        <item x="652"/>
        <item x="638"/>
        <item x="813"/>
        <item x="940"/>
        <item x="270"/>
        <item x="173"/>
        <item x="398"/>
        <item x="3"/>
        <item x="309"/>
        <item x="383"/>
        <item x="592"/>
        <item x="354"/>
        <item x="456"/>
        <item x="716"/>
        <item x="116"/>
        <item x="378"/>
        <item x="803"/>
        <item x="874"/>
        <item x="340"/>
        <item x="367"/>
        <item x="639"/>
        <item x="576"/>
        <item x="17"/>
        <item x="180"/>
        <item x="992"/>
        <item x="509"/>
        <item x="50"/>
        <item x="885"/>
        <item x="507"/>
        <item x="193"/>
        <item x="723"/>
        <item x="989"/>
        <item x="705"/>
        <item x="221"/>
        <item x="36"/>
        <item x="725"/>
        <item x="401"/>
        <item x="207"/>
        <item x="600"/>
        <item x="402"/>
        <item x="450"/>
        <item x="978"/>
        <item x="864"/>
        <item x="569"/>
        <item x="90"/>
        <item x="244"/>
        <item x="827"/>
        <item x="934"/>
        <item x="71"/>
        <item x="503"/>
        <item x="772"/>
        <item x="982"/>
        <item x="480"/>
        <item x="66"/>
        <item x="459"/>
        <item x="746"/>
        <item x="479"/>
        <item x="645"/>
        <item x="628"/>
        <item x="436"/>
        <item x="73"/>
        <item x="308"/>
        <item x="971"/>
        <item x="167"/>
        <item x="121"/>
        <item x="706"/>
        <item x="836"/>
        <item x="267"/>
        <item x="713"/>
        <item x="807"/>
        <item x="795"/>
        <item x="542"/>
        <item x="855"/>
        <item x="900"/>
        <item x="672"/>
        <item x="211"/>
        <item x="974"/>
        <item x="437"/>
        <item x="738"/>
        <item x="670"/>
        <item x="938"/>
        <item x="442"/>
        <item x="618"/>
        <item x="117"/>
        <item x="947"/>
        <item x="843"/>
        <item x="92"/>
        <item x="567"/>
        <item x="847"/>
        <item x="784"/>
        <item x="310"/>
        <item x="169"/>
        <item x="794"/>
        <item x="673"/>
        <item x="631"/>
        <item x="126"/>
        <item x="654"/>
        <item x="817"/>
        <item x="235"/>
        <item x="86"/>
        <item x="614"/>
        <item x="508"/>
        <item x="717"/>
        <item x="133"/>
        <item x="778"/>
        <item x="769"/>
        <item x="364"/>
        <item x="734"/>
        <item x="694"/>
        <item x="77"/>
        <item x="68"/>
        <item x="585"/>
        <item x="501"/>
        <item x="603"/>
        <item x="559"/>
        <item x="959"/>
        <item x="356"/>
        <item x="357"/>
        <item x="400"/>
        <item x="464"/>
        <item x="511"/>
        <item x="130"/>
        <item x="826"/>
        <item x="612"/>
        <item x="602"/>
        <item x="690"/>
        <item x="414"/>
        <item x="35"/>
        <item x="834"/>
        <item x="499"/>
        <item x="230"/>
        <item x="896"/>
        <item x="785"/>
        <item x="762"/>
        <item x="624"/>
        <item x="680"/>
        <item x="329"/>
        <item x="245"/>
        <item x="424"/>
        <item x="830"/>
        <item x="727"/>
        <item x="956"/>
        <item x="732"/>
        <item x="661"/>
        <item x="584"/>
        <item x="960"/>
        <item x="998"/>
        <item x="282"/>
        <item x="927"/>
        <item x="789"/>
        <item x="141"/>
        <item x="448"/>
        <item x="871"/>
        <item x="888"/>
        <item x="154"/>
        <item x="262"/>
        <item x="146"/>
        <item x="667"/>
        <item x="797"/>
        <item x="558"/>
        <item x="979"/>
        <item x="683"/>
        <item x="814"/>
        <item x="204"/>
        <item x="361"/>
        <item x="321"/>
        <item x="272"/>
        <item x="32"/>
        <item x="764"/>
        <item x="463"/>
        <item x="662"/>
        <item x="829"/>
        <item x="857"/>
        <item x="880"/>
        <item x="296"/>
        <item x="113"/>
        <item x="229"/>
        <item x="685"/>
        <item x="593"/>
        <item x="41"/>
        <item x="562"/>
        <item x="954"/>
        <item x="561"/>
        <item x="453"/>
        <item x="856"/>
        <item x="104"/>
        <item x="88"/>
        <item x="276"/>
        <item x="835"/>
        <item x="502"/>
        <item x="845"/>
        <item x="475"/>
        <item x="53"/>
        <item x="87"/>
        <item x="744"/>
        <item x="444"/>
        <item x="833"/>
        <item x="197"/>
        <item x="534"/>
        <item x="586"/>
        <item x="407"/>
        <item x="214"/>
        <item x="96"/>
        <item x="887"/>
        <item x="279"/>
        <item x="910"/>
        <item x="523"/>
        <item x="861"/>
        <item x="527"/>
        <item x="666"/>
        <item x="469"/>
        <item x="513"/>
        <item x="260"/>
        <item x="370"/>
        <item x="640"/>
        <item x="722"/>
        <item x="752"/>
        <item x="420"/>
        <item x="393"/>
        <item x="687"/>
        <item x="977"/>
        <item x="332"/>
        <item x="381"/>
        <item x="715"/>
        <item x="596"/>
        <item x="924"/>
        <item x="266"/>
        <item x="859"/>
        <item x="970"/>
        <item x="525"/>
        <item x="748"/>
        <item x="684"/>
        <item x="671"/>
        <item x="135"/>
        <item x="79"/>
        <item x="408"/>
        <item x="390"/>
        <item x="867"/>
        <item x="952"/>
        <item x="564"/>
        <item x="109"/>
        <item x="16"/>
        <item x="218"/>
        <item x="159"/>
        <item x="609"/>
        <item x="901"/>
        <item x="686"/>
        <item x="820"/>
        <item x="78"/>
        <item x="198"/>
        <item x="731"/>
        <item x="60"/>
        <item x="520"/>
        <item x="372"/>
        <item x="821"/>
        <item x="679"/>
        <item x="933"/>
        <item x="894"/>
        <item x="837"/>
        <item x="107"/>
        <item x="771"/>
        <item x="740"/>
        <item x="152"/>
        <item x="505"/>
        <item x="489"/>
        <item x="38"/>
        <item x="57"/>
        <item x="743"/>
        <item x="796"/>
        <item x="222"/>
        <item x="394"/>
        <item x="494"/>
        <item x="434"/>
        <item x="659"/>
        <item x="515"/>
        <item x="336"/>
        <item x="122"/>
        <item x="802"/>
        <item x="548"/>
        <item x="451"/>
        <item x="256"/>
        <item x="831"/>
        <item x="311"/>
        <item x="44"/>
        <item x="425"/>
        <item x="663"/>
        <item x="729"/>
        <item x="46"/>
        <item x="902"/>
        <item x="45"/>
        <item x="664"/>
        <item x="254"/>
        <item x="301"/>
        <item x="704"/>
        <item x="531"/>
        <item x="961"/>
        <item x="93"/>
        <item x="753"/>
        <item x="930"/>
        <item x="695"/>
        <item x="239"/>
        <item x="984"/>
        <item x="409"/>
        <item x="621"/>
        <item x="604"/>
        <item x="893"/>
        <item x="30"/>
        <item x="168"/>
        <item x="0"/>
        <item x="349"/>
        <item x="307"/>
        <item x="579"/>
        <item x="730"/>
        <item x="682"/>
        <item x="611"/>
        <item x="247"/>
        <item x="205"/>
        <item x="966"/>
        <item x="94"/>
        <item x="439"/>
        <item x="615"/>
        <item x="999"/>
        <item x="626"/>
        <item x="264"/>
        <item x="939"/>
        <item x="492"/>
        <item x="875"/>
        <item x="514"/>
        <item x="976"/>
        <item x="131"/>
        <item x="571"/>
        <item x="163"/>
        <item x="175"/>
        <item x="760"/>
        <item x="793"/>
        <item x="816"/>
        <item x="69"/>
        <item x="780"/>
        <item x="324"/>
        <item x="415"/>
        <item x="392"/>
        <item x="47"/>
        <item x="265"/>
        <item x="941"/>
        <item x="305"/>
        <item x="269"/>
        <item x="676"/>
        <item x="700"/>
        <item x="341"/>
        <item x="808"/>
        <item x="990"/>
        <item x="917"/>
        <item x="1"/>
        <item x="756"/>
        <item x="914"/>
        <item x="423"/>
        <item x="973"/>
        <item x="458"/>
        <item x="432"/>
        <item x="62"/>
        <item x="913"/>
        <item x="478"/>
        <item x="693"/>
        <item x="326"/>
        <item x="555"/>
        <item x="739"/>
        <item x="619"/>
        <item x="284"/>
        <item x="750"/>
        <item x="892"/>
        <item x="28"/>
        <item x="374"/>
        <item x="157"/>
        <item x="67"/>
        <item x="379"/>
        <item x="42"/>
        <item x="226"/>
        <item x="643"/>
        <item x="911"/>
        <item x="461"/>
        <item x="61"/>
        <item x="299"/>
        <item x="100"/>
        <item x="546"/>
        <item x="536"/>
        <item x="790"/>
        <item x="373"/>
        <item x="890"/>
        <item x="166"/>
        <item x="348"/>
        <item x="656"/>
        <item x="95"/>
        <item x="920"/>
        <item x="506"/>
        <item x="238"/>
        <item x="783"/>
        <item x="325"/>
        <item x="823"/>
        <item x="849"/>
        <item x="257"/>
        <item x="997"/>
        <item x="606"/>
        <item x="800"/>
        <item x="819"/>
        <item x="553"/>
        <item x="779"/>
        <item x="641"/>
        <item x="599"/>
        <item x="240"/>
        <item x="386"/>
        <item x="457"/>
        <item x="429"/>
        <item x="650"/>
        <item x="495"/>
        <item x="140"/>
        <item x="487"/>
        <item x="529"/>
        <item x="411"/>
        <item x="991"/>
        <item x="909"/>
        <item x="848"/>
        <item x="40"/>
        <item x="200"/>
        <item x="227"/>
        <item x="590"/>
        <item x="805"/>
        <item x="443"/>
        <item x="763"/>
        <item x="500"/>
        <item x="74"/>
        <item x="352"/>
        <item x="241"/>
        <item x="263"/>
        <item x="935"/>
        <item x="360"/>
        <item x="455"/>
        <item x="781"/>
        <item x="359"/>
        <item x="132"/>
        <item x="433"/>
        <item x="382"/>
        <item x="577"/>
        <item x="101"/>
        <item x="237"/>
        <item x="994"/>
        <item x="353"/>
        <item x="811"/>
        <item x="297"/>
        <item x="108"/>
        <item x="19"/>
        <item x="339"/>
        <item x="396"/>
        <item x="460"/>
        <item x="246"/>
        <item x="607"/>
        <item x="430"/>
        <item x="105"/>
        <item x="528"/>
        <item x="724"/>
        <item x="186"/>
        <item x="290"/>
        <item x="986"/>
        <item x="574"/>
        <item x="832"/>
        <item x="158"/>
        <item x="277"/>
        <item x="234"/>
        <item x="426"/>
        <item x="52"/>
        <item x="822"/>
        <item x="23"/>
        <item x="881"/>
        <item x="125"/>
        <item x="951"/>
        <item x="627"/>
        <item x="810"/>
        <item x="343"/>
        <item x="431"/>
        <item x="178"/>
        <item x="83"/>
        <item x="904"/>
        <item x="566"/>
        <item x="213"/>
        <item x="147"/>
        <item x="563"/>
        <item x="595"/>
        <item x="273"/>
        <item x="773"/>
        <item x="846"/>
        <item x="295"/>
        <item x="741"/>
        <item x="549"/>
        <item x="65"/>
        <item x="388"/>
        <item x="208"/>
        <item x="37"/>
        <item x="418"/>
        <item x="809"/>
        <item x="13"/>
        <item x="347"/>
        <item x="405"/>
        <item x="759"/>
        <item x="919"/>
        <item x="286"/>
        <item x="471"/>
        <item x="371"/>
        <item x="702"/>
        <item x="76"/>
        <item x="91"/>
        <item x="539"/>
        <item x="151"/>
        <item x="882"/>
        <item x="192"/>
        <item x="757"/>
        <item x="9"/>
        <item x="421"/>
        <item x="259"/>
        <item x="573"/>
        <item x="610"/>
        <item x="298"/>
        <item x="223"/>
        <item x="288"/>
        <item x="844"/>
        <item x="314"/>
        <item x="98"/>
        <item x="145"/>
        <item x="362"/>
        <item x="283"/>
        <item x="419"/>
        <item x="80"/>
        <item x="99"/>
        <item x="608"/>
        <item x="518"/>
        <item x="895"/>
        <item x="190"/>
        <item x="21"/>
        <item x="560"/>
        <item x="322"/>
        <item x="210"/>
        <item x="416"/>
        <item x="380"/>
        <item x="582"/>
        <item x="228"/>
        <item x="112"/>
        <item x="688"/>
        <item x="957"/>
        <item x="34"/>
        <item x="691"/>
        <item x="786"/>
        <item x="719"/>
        <item x="54"/>
        <item x="674"/>
        <item x="302"/>
        <item x="517"/>
        <item x="39"/>
        <item x="467"/>
        <item x="220"/>
        <item x="465"/>
        <item x="815"/>
        <item x="255"/>
        <item x="438"/>
        <item x="427"/>
        <item x="907"/>
        <item x="224"/>
        <item x="285"/>
        <item x="148"/>
        <item x="547"/>
        <item x="681"/>
        <item x="925"/>
        <item x="916"/>
        <item x="484"/>
        <item x="428"/>
        <item x="589"/>
        <item x="474"/>
        <item x="84"/>
        <item x="219"/>
        <item x="653"/>
        <item x="605"/>
        <item x="29"/>
        <item x="85"/>
        <item x="287"/>
        <item x="331"/>
        <item x="449"/>
        <item x="355"/>
        <item x="637"/>
        <item x="923"/>
        <item x="199"/>
        <item x="710"/>
        <item x="278"/>
        <item x="293"/>
        <item x="572"/>
        <item x="138"/>
        <item x="312"/>
        <item x="2"/>
        <item x="860"/>
        <item x="955"/>
        <item x="747"/>
        <item x="996"/>
        <item x="877"/>
        <item x="215"/>
        <item x="306"/>
        <item x="482"/>
        <item x="43"/>
        <item x="944"/>
        <item x="540"/>
        <item x="385"/>
        <item x="351"/>
        <item x="481"/>
        <item x="14"/>
        <item x="27"/>
        <item x="410"/>
        <item x="172"/>
        <item x="103"/>
        <item x="70"/>
        <item x="953"/>
        <item x="403"/>
        <item x="225"/>
        <item x="498"/>
        <item x="782"/>
        <item x="568"/>
        <item x="102"/>
        <item x="274"/>
        <item x="658"/>
        <item x="289"/>
        <item x="137"/>
        <item x="454"/>
        <item x="519"/>
        <item x="841"/>
        <item x="854"/>
        <item x="594"/>
        <item x="15"/>
        <item x="127"/>
        <item x="921"/>
        <item x="64"/>
        <item x="853"/>
        <item x="333"/>
        <item x="188"/>
        <item x="56"/>
        <item x="544"/>
        <item x="774"/>
        <item x="304"/>
        <item x="216"/>
        <item x="616"/>
        <item x="897"/>
        <item x="721"/>
        <item x="134"/>
        <item x="473"/>
        <item x="316"/>
        <item x="81"/>
        <item x="804"/>
        <item x="72"/>
        <item x="472"/>
        <item x="642"/>
        <item x="649"/>
        <item x="11"/>
        <item x="709"/>
        <item x="839"/>
        <item x="185"/>
        <item x="368"/>
        <item x="931"/>
        <item x="692"/>
        <item x="338"/>
        <item x="665"/>
        <item x="483"/>
        <item x="182"/>
        <item x="818"/>
        <item x="156"/>
        <item x="170"/>
        <item x="840"/>
        <item x="184"/>
        <item x="550"/>
        <item x="477"/>
        <item x="726"/>
        <item x="300"/>
        <item x="708"/>
        <item x="648"/>
        <item x="929"/>
        <item x="634"/>
        <item x="552"/>
        <item x="625"/>
        <item x="891"/>
        <item x="124"/>
        <item x="535"/>
        <item x="655"/>
        <item x="620"/>
        <item x="791"/>
        <item x="926"/>
        <item x="413"/>
        <item x="601"/>
        <item x="675"/>
        <item x="143"/>
        <item x="350"/>
        <item x="749"/>
        <item x="668"/>
        <item x="858"/>
        <item x="993"/>
        <item x="745"/>
        <item x="330"/>
        <item x="144"/>
        <item x="943"/>
        <item x="118"/>
        <item x="196"/>
        <item x="320"/>
        <item x="657"/>
        <item x="488"/>
        <item x="718"/>
        <item x="486"/>
        <item x="422"/>
        <item x="884"/>
        <item x="497"/>
        <item x="575"/>
        <item x="532"/>
        <item x="770"/>
        <item x="889"/>
        <item x="988"/>
        <item x="111"/>
        <item x="139"/>
        <item x="4"/>
        <item x="120"/>
        <item x="209"/>
        <item x="711"/>
        <item x="512"/>
        <item x="995"/>
        <item x="114"/>
        <item x="275"/>
        <item x="384"/>
        <item x="476"/>
        <item x="470"/>
        <item x="578"/>
        <item x="633"/>
        <item x="55"/>
        <item x="110"/>
        <item x="588"/>
        <item x="950"/>
        <item x="153"/>
        <item x="712"/>
        <item x="866"/>
        <item x="323"/>
        <item x="526"/>
        <item x="538"/>
        <item x="962"/>
        <item x="452"/>
        <item x="975"/>
        <item x="366"/>
        <item x="758"/>
        <item x="369"/>
        <item x="928"/>
        <item x="872"/>
        <item x="161"/>
        <item x="865"/>
        <item x="20"/>
        <item x="97"/>
        <item x="404"/>
        <item x="75"/>
        <item x="395"/>
        <item x="788"/>
        <item x="798"/>
        <item x="587"/>
        <item x="491"/>
        <item x="948"/>
        <item x="317"/>
        <item x="768"/>
        <item x="617"/>
        <item x="363"/>
        <item x="242"/>
        <item x="59"/>
        <item x="123"/>
        <item x="622"/>
        <item x="5"/>
        <item x="337"/>
        <item x="689"/>
        <item x="669"/>
        <item x="949"/>
        <item x="24"/>
        <item x="969"/>
        <item x="714"/>
        <item x="776"/>
        <item x="243"/>
        <item x="876"/>
        <item x="755"/>
        <item x="565"/>
        <item x="202"/>
        <item x="765"/>
        <item x="720"/>
        <item x="766"/>
        <item x="233"/>
        <item x="115"/>
        <item x="699"/>
        <item x="597"/>
        <item x="462"/>
        <item x="376"/>
        <item x="660"/>
        <item x="554"/>
        <item x="946"/>
        <item x="441"/>
        <item x="869"/>
        <item x="972"/>
        <item x="179"/>
        <item x="251"/>
        <item x="580"/>
        <item x="912"/>
        <item x="493"/>
        <item x="82"/>
        <item x="33"/>
        <item x="932"/>
        <item x="440"/>
        <item x="824"/>
        <item x="787"/>
        <item x="936"/>
        <item x="12"/>
        <item x="504"/>
        <item x="728"/>
        <item x="446"/>
        <item x="899"/>
        <item x="201"/>
        <item x="435"/>
        <item x="129"/>
        <item x="7"/>
        <item x="922"/>
        <item x="387"/>
        <item x="48"/>
        <item x="825"/>
        <item x="165"/>
        <item x="292"/>
        <item x="31"/>
        <item x="905"/>
        <item x="365"/>
        <item x="958"/>
        <item x="271"/>
        <item x="345"/>
        <item x="342"/>
        <item x="883"/>
        <item x="985"/>
        <item x="183"/>
        <item x="315"/>
        <item x="632"/>
        <item x="524"/>
        <item x="736"/>
        <item x="155"/>
        <item x="181"/>
        <item x="391"/>
        <item x="496"/>
        <item x="629"/>
        <item x="635"/>
        <item x="703"/>
        <item x="701"/>
        <item x="623"/>
        <item x="162"/>
        <item x="261"/>
        <item x="551"/>
        <item x="49"/>
        <item x="812"/>
        <item x="761"/>
        <item x="485"/>
        <item x="799"/>
        <item x="468"/>
        <item x="583"/>
        <item x="516"/>
        <item x="89"/>
        <item x="149"/>
        <item x="697"/>
        <item x="737"/>
        <item x="878"/>
        <item x="987"/>
        <item x="177"/>
        <item x="490"/>
        <item x="644"/>
        <item x="253"/>
        <item x="908"/>
        <item x="212"/>
        <item x="557"/>
        <item x="777"/>
        <item x="945"/>
        <item x="543"/>
        <item x="248"/>
        <item x="591"/>
        <item x="903"/>
        <item x="647"/>
        <item x="191"/>
        <item x="510"/>
        <item x="399"/>
        <item x="249"/>
        <item x="862"/>
        <item x="51"/>
        <item x="119"/>
        <item x="630"/>
        <item x="967"/>
        <item x="174"/>
        <item x="187"/>
        <item x="217"/>
        <item x="556"/>
        <item x="678"/>
        <item x="106"/>
        <item x="258"/>
        <item x="160"/>
        <item x="334"/>
        <item x="533"/>
        <item x="252"/>
        <item x="851"/>
        <item x="963"/>
        <item x="696"/>
        <item x="879"/>
        <item x="335"/>
        <item x="189"/>
        <item x="863"/>
        <item x="8"/>
        <item x="250"/>
        <item x="915"/>
        <item x="466"/>
        <item x="918"/>
        <item x="983"/>
        <item x="128"/>
        <item x="852"/>
        <item x="980"/>
        <item x="742"/>
        <item x="136"/>
        <item x="268"/>
        <item x="150"/>
        <item x="281"/>
        <item x="344"/>
        <item x="445"/>
        <item x="313"/>
        <item x="25"/>
        <item x="176"/>
        <item x="18"/>
        <item x="906"/>
        <item x="870"/>
        <item x="828"/>
        <item x="842"/>
        <item x="406"/>
        <item x="397"/>
        <item x="389"/>
        <item x="142"/>
        <item x="10"/>
        <item x="328"/>
        <item x="964"/>
        <item x="792"/>
        <item x="203"/>
        <item x="754"/>
        <item x="280"/>
        <item x="195"/>
        <item x="968"/>
        <item x="651"/>
        <item x="545"/>
        <item x="570"/>
        <item x="942"/>
        <item x="358"/>
        <item x="733"/>
        <item x="541"/>
        <item x="231"/>
        <item x="646"/>
        <item x="412"/>
        <item x="447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h="1" sd="0" x="0"/>
        <item sd="0" x="1"/>
        <item h="1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 sd="0"/>
      </items>
    </pivotField>
    <pivotField dataField="1" dragToRow="0" dragToCol="0" dragToPage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Custo" fld="11" baseField="0" baseItem="0"/>
    <dataField name="Soma de Lucro" fld="12" baseField="0" baseItem="0" numFmtId="44"/>
    <dataField name="Soma de Receita" fld="10" baseField="0" baseItem="0"/>
    <dataField name="Média de Margem Total" fld="20" subtotal="average" baseField="0" baseItem="1" numFmtId="9"/>
    <dataField name="Soma de Quantidade" fld="8" baseField="0" baseItem="0"/>
  </dataFields>
  <formats count="2">
    <format dxfId="4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">
    <chartFormat chart="7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0A2C0-D98E-4612-9592-2B45CE6EDD6C}" name="Tabela dinâmica4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31">
  <location ref="A51:B55" firstHeaderRow="1" firstDataRow="1" firstDataCol="1"/>
  <pivotFields count="21">
    <pivotField numFmtId="1" showAll="0"/>
    <pivotField numFmtId="14" showAll="0">
      <items count="181">
        <item x="49"/>
        <item x="148"/>
        <item x="20"/>
        <item x="29"/>
        <item x="161"/>
        <item x="53"/>
        <item x="52"/>
        <item x="75"/>
        <item x="121"/>
        <item x="142"/>
        <item x="115"/>
        <item x="73"/>
        <item x="35"/>
        <item x="147"/>
        <item x="3"/>
        <item x="140"/>
        <item x="149"/>
        <item x="50"/>
        <item x="108"/>
        <item x="179"/>
        <item x="77"/>
        <item x="69"/>
        <item x="173"/>
        <item x="43"/>
        <item x="136"/>
        <item x="36"/>
        <item x="83"/>
        <item x="28"/>
        <item x="133"/>
        <item x="167"/>
        <item x="159"/>
        <item x="23"/>
        <item x="109"/>
        <item x="18"/>
        <item x="16"/>
        <item x="170"/>
        <item x="110"/>
        <item x="132"/>
        <item x="129"/>
        <item x="151"/>
        <item x="123"/>
        <item x="175"/>
        <item x="128"/>
        <item x="174"/>
        <item x="101"/>
        <item x="1"/>
        <item x="30"/>
        <item x="146"/>
        <item x="82"/>
        <item x="155"/>
        <item x="165"/>
        <item x="164"/>
        <item x="91"/>
        <item x="124"/>
        <item x="74"/>
        <item x="106"/>
        <item x="102"/>
        <item x="86"/>
        <item x="97"/>
        <item x="55"/>
        <item x="85"/>
        <item x="117"/>
        <item x="41"/>
        <item x="95"/>
        <item x="44"/>
        <item x="12"/>
        <item x="60"/>
        <item x="114"/>
        <item x="156"/>
        <item x="63"/>
        <item x="5"/>
        <item x="13"/>
        <item x="138"/>
        <item x="89"/>
        <item x="99"/>
        <item x="177"/>
        <item x="68"/>
        <item x="59"/>
        <item x="64"/>
        <item x="137"/>
        <item x="22"/>
        <item x="42"/>
        <item x="116"/>
        <item x="33"/>
        <item x="11"/>
        <item x="158"/>
        <item x="54"/>
        <item x="80"/>
        <item x="81"/>
        <item x="119"/>
        <item x="57"/>
        <item x="134"/>
        <item x="118"/>
        <item x="93"/>
        <item x="65"/>
        <item x="7"/>
        <item x="8"/>
        <item x="120"/>
        <item x="9"/>
        <item x="100"/>
        <item x="37"/>
        <item x="61"/>
        <item x="14"/>
        <item x="58"/>
        <item x="21"/>
        <item x="32"/>
        <item x="111"/>
        <item x="135"/>
        <item x="17"/>
        <item x="172"/>
        <item x="38"/>
        <item x="4"/>
        <item x="145"/>
        <item x="25"/>
        <item x="92"/>
        <item x="171"/>
        <item x="130"/>
        <item x="87"/>
        <item x="96"/>
        <item x="105"/>
        <item x="84"/>
        <item x="166"/>
        <item x="79"/>
        <item x="98"/>
        <item x="139"/>
        <item x="62"/>
        <item x="71"/>
        <item x="178"/>
        <item x="153"/>
        <item x="31"/>
        <item x="48"/>
        <item x="56"/>
        <item x="51"/>
        <item x="103"/>
        <item x="67"/>
        <item x="26"/>
        <item x="104"/>
        <item x="40"/>
        <item x="90"/>
        <item x="144"/>
        <item x="152"/>
        <item x="162"/>
        <item x="34"/>
        <item x="125"/>
        <item x="163"/>
        <item x="154"/>
        <item x="72"/>
        <item x="39"/>
        <item x="47"/>
        <item x="10"/>
        <item x="141"/>
        <item x="6"/>
        <item x="176"/>
        <item x="76"/>
        <item x="127"/>
        <item x="168"/>
        <item x="126"/>
        <item x="94"/>
        <item x="24"/>
        <item x="0"/>
        <item x="27"/>
        <item x="78"/>
        <item x="157"/>
        <item x="160"/>
        <item x="150"/>
        <item x="88"/>
        <item x="131"/>
        <item x="45"/>
        <item x="2"/>
        <item x="169"/>
        <item x="107"/>
        <item x="70"/>
        <item x="122"/>
        <item x="46"/>
        <item x="113"/>
        <item x="143"/>
        <item x="112"/>
        <item x="15"/>
        <item x="66"/>
        <item x="19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>
      <items count="6">
        <item x="1"/>
        <item x="4"/>
        <item x="0"/>
        <item x="3"/>
        <item x="2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numFmtId="1" showAll="0"/>
    <pivotField showAll="0">
      <items count="4">
        <item x="1"/>
        <item x="0"/>
        <item x="2"/>
        <item t="default"/>
      </items>
    </pivotField>
    <pivotField showAll="0">
      <items count="6">
        <item x="4"/>
        <item x="2"/>
        <item x="1"/>
        <item x="0"/>
        <item x="3"/>
        <item t="default"/>
      </items>
    </pivotField>
    <pivotField numFmtId="1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44" showAll="0"/>
    <pivotField numFmtId="44" showAll="0"/>
    <pivotField numFmtId="44" showAll="0"/>
    <pivotField dataField="1" numFmtId="44" showAll="0"/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6">
        <item x="4"/>
        <item x="3"/>
        <item x="1"/>
        <item x="2"/>
        <item x="0"/>
        <item t="default"/>
      </items>
    </pivotField>
    <pivotField numFmtId="9" showAll="0">
      <items count="1001">
        <item x="232"/>
        <item x="806"/>
        <item x="707"/>
        <item x="981"/>
        <item x="767"/>
        <item x="26"/>
        <item x="346"/>
        <item x="636"/>
        <item x="698"/>
        <item x="171"/>
        <item x="164"/>
        <item x="291"/>
        <item x="206"/>
        <item x="303"/>
        <item x="530"/>
        <item x="898"/>
        <item x="937"/>
        <item x="417"/>
        <item x="236"/>
        <item x="775"/>
        <item x="522"/>
        <item x="318"/>
        <item x="751"/>
        <item x="850"/>
        <item x="319"/>
        <item x="735"/>
        <item x="294"/>
        <item x="6"/>
        <item x="377"/>
        <item x="327"/>
        <item x="63"/>
        <item x="22"/>
        <item x="581"/>
        <item x="375"/>
        <item x="58"/>
        <item x="838"/>
        <item x="873"/>
        <item x="194"/>
        <item x="598"/>
        <item x="521"/>
        <item x="677"/>
        <item x="886"/>
        <item x="613"/>
        <item x="537"/>
        <item x="965"/>
        <item x="801"/>
        <item x="868"/>
        <item x="652"/>
        <item x="638"/>
        <item x="813"/>
        <item x="940"/>
        <item x="270"/>
        <item x="173"/>
        <item x="398"/>
        <item x="3"/>
        <item x="309"/>
        <item x="383"/>
        <item x="592"/>
        <item x="354"/>
        <item x="456"/>
        <item x="716"/>
        <item x="116"/>
        <item x="378"/>
        <item x="803"/>
        <item x="874"/>
        <item x="340"/>
        <item x="367"/>
        <item x="639"/>
        <item x="576"/>
        <item x="17"/>
        <item x="180"/>
        <item x="992"/>
        <item x="509"/>
        <item x="50"/>
        <item x="885"/>
        <item x="507"/>
        <item x="193"/>
        <item x="723"/>
        <item x="989"/>
        <item x="705"/>
        <item x="221"/>
        <item x="36"/>
        <item x="725"/>
        <item x="401"/>
        <item x="207"/>
        <item x="600"/>
        <item x="402"/>
        <item x="450"/>
        <item x="978"/>
        <item x="864"/>
        <item x="569"/>
        <item x="90"/>
        <item x="244"/>
        <item x="827"/>
        <item x="934"/>
        <item x="71"/>
        <item x="503"/>
        <item x="772"/>
        <item x="982"/>
        <item x="480"/>
        <item x="66"/>
        <item x="459"/>
        <item x="746"/>
        <item x="479"/>
        <item x="645"/>
        <item x="628"/>
        <item x="436"/>
        <item x="73"/>
        <item x="308"/>
        <item x="971"/>
        <item x="167"/>
        <item x="121"/>
        <item x="706"/>
        <item x="836"/>
        <item x="267"/>
        <item x="713"/>
        <item x="807"/>
        <item x="795"/>
        <item x="542"/>
        <item x="855"/>
        <item x="900"/>
        <item x="672"/>
        <item x="211"/>
        <item x="974"/>
        <item x="437"/>
        <item x="738"/>
        <item x="670"/>
        <item x="938"/>
        <item x="442"/>
        <item x="618"/>
        <item x="117"/>
        <item x="947"/>
        <item x="843"/>
        <item x="92"/>
        <item x="567"/>
        <item x="847"/>
        <item x="784"/>
        <item x="310"/>
        <item x="169"/>
        <item x="794"/>
        <item x="673"/>
        <item x="631"/>
        <item x="126"/>
        <item x="654"/>
        <item x="817"/>
        <item x="235"/>
        <item x="86"/>
        <item x="614"/>
        <item x="508"/>
        <item x="717"/>
        <item x="133"/>
        <item x="778"/>
        <item x="769"/>
        <item x="364"/>
        <item x="734"/>
        <item x="694"/>
        <item x="77"/>
        <item x="68"/>
        <item x="585"/>
        <item x="501"/>
        <item x="603"/>
        <item x="559"/>
        <item x="959"/>
        <item x="356"/>
        <item x="357"/>
        <item x="400"/>
        <item x="464"/>
        <item x="511"/>
        <item x="130"/>
        <item x="826"/>
        <item x="612"/>
        <item x="602"/>
        <item x="690"/>
        <item x="414"/>
        <item x="35"/>
        <item x="834"/>
        <item x="499"/>
        <item x="230"/>
        <item x="896"/>
        <item x="785"/>
        <item x="762"/>
        <item x="624"/>
        <item x="680"/>
        <item x="329"/>
        <item x="245"/>
        <item x="424"/>
        <item x="830"/>
        <item x="727"/>
        <item x="956"/>
        <item x="732"/>
        <item x="661"/>
        <item x="584"/>
        <item x="960"/>
        <item x="998"/>
        <item x="282"/>
        <item x="927"/>
        <item x="789"/>
        <item x="141"/>
        <item x="448"/>
        <item x="871"/>
        <item x="888"/>
        <item x="154"/>
        <item x="262"/>
        <item x="146"/>
        <item x="667"/>
        <item x="797"/>
        <item x="558"/>
        <item x="979"/>
        <item x="683"/>
        <item x="814"/>
        <item x="204"/>
        <item x="361"/>
        <item x="321"/>
        <item x="272"/>
        <item x="32"/>
        <item x="764"/>
        <item x="463"/>
        <item x="662"/>
        <item x="829"/>
        <item x="857"/>
        <item x="880"/>
        <item x="296"/>
        <item x="113"/>
        <item x="229"/>
        <item x="685"/>
        <item x="593"/>
        <item x="41"/>
        <item x="562"/>
        <item x="954"/>
        <item x="561"/>
        <item x="453"/>
        <item x="856"/>
        <item x="104"/>
        <item x="88"/>
        <item x="276"/>
        <item x="835"/>
        <item x="502"/>
        <item x="845"/>
        <item x="475"/>
        <item x="53"/>
        <item x="87"/>
        <item x="744"/>
        <item x="444"/>
        <item x="833"/>
        <item x="197"/>
        <item x="534"/>
        <item x="586"/>
        <item x="407"/>
        <item x="214"/>
        <item x="96"/>
        <item x="887"/>
        <item x="279"/>
        <item x="910"/>
        <item x="523"/>
        <item x="861"/>
        <item x="527"/>
        <item x="666"/>
        <item x="469"/>
        <item x="513"/>
        <item x="260"/>
        <item x="370"/>
        <item x="640"/>
        <item x="722"/>
        <item x="752"/>
        <item x="420"/>
        <item x="393"/>
        <item x="687"/>
        <item x="977"/>
        <item x="332"/>
        <item x="381"/>
        <item x="715"/>
        <item x="596"/>
        <item x="924"/>
        <item x="266"/>
        <item x="859"/>
        <item x="970"/>
        <item x="525"/>
        <item x="748"/>
        <item x="684"/>
        <item x="671"/>
        <item x="135"/>
        <item x="79"/>
        <item x="408"/>
        <item x="390"/>
        <item x="867"/>
        <item x="952"/>
        <item x="564"/>
        <item x="109"/>
        <item x="16"/>
        <item x="218"/>
        <item x="159"/>
        <item x="609"/>
        <item x="901"/>
        <item x="686"/>
        <item x="820"/>
        <item x="78"/>
        <item x="198"/>
        <item x="731"/>
        <item x="60"/>
        <item x="520"/>
        <item x="372"/>
        <item x="821"/>
        <item x="679"/>
        <item x="933"/>
        <item x="894"/>
        <item x="837"/>
        <item x="107"/>
        <item x="771"/>
        <item x="740"/>
        <item x="152"/>
        <item x="505"/>
        <item x="489"/>
        <item x="38"/>
        <item x="57"/>
        <item x="743"/>
        <item x="796"/>
        <item x="222"/>
        <item x="394"/>
        <item x="494"/>
        <item x="434"/>
        <item x="659"/>
        <item x="515"/>
        <item x="336"/>
        <item x="122"/>
        <item x="802"/>
        <item x="548"/>
        <item x="451"/>
        <item x="256"/>
        <item x="831"/>
        <item x="311"/>
        <item x="44"/>
        <item x="425"/>
        <item x="663"/>
        <item x="729"/>
        <item x="46"/>
        <item x="902"/>
        <item x="45"/>
        <item x="664"/>
        <item x="254"/>
        <item x="301"/>
        <item x="704"/>
        <item x="531"/>
        <item x="961"/>
        <item x="93"/>
        <item x="753"/>
        <item x="930"/>
        <item x="695"/>
        <item x="239"/>
        <item x="984"/>
        <item x="409"/>
        <item x="621"/>
        <item x="604"/>
        <item x="893"/>
        <item x="30"/>
        <item x="168"/>
        <item x="0"/>
        <item x="349"/>
        <item x="307"/>
        <item x="579"/>
        <item x="730"/>
        <item x="682"/>
        <item x="611"/>
        <item x="247"/>
        <item x="205"/>
        <item x="966"/>
        <item x="94"/>
        <item x="439"/>
        <item x="615"/>
        <item x="999"/>
        <item x="626"/>
        <item x="264"/>
        <item x="939"/>
        <item x="492"/>
        <item x="875"/>
        <item x="514"/>
        <item x="976"/>
        <item x="131"/>
        <item x="571"/>
        <item x="163"/>
        <item x="175"/>
        <item x="760"/>
        <item x="793"/>
        <item x="816"/>
        <item x="69"/>
        <item x="780"/>
        <item x="324"/>
        <item x="415"/>
        <item x="392"/>
        <item x="47"/>
        <item x="265"/>
        <item x="941"/>
        <item x="305"/>
        <item x="269"/>
        <item x="676"/>
        <item x="700"/>
        <item x="341"/>
        <item x="808"/>
        <item x="990"/>
        <item x="917"/>
        <item x="1"/>
        <item x="756"/>
        <item x="914"/>
        <item x="423"/>
        <item x="973"/>
        <item x="458"/>
        <item x="432"/>
        <item x="62"/>
        <item x="913"/>
        <item x="478"/>
        <item x="693"/>
        <item x="326"/>
        <item x="555"/>
        <item x="739"/>
        <item x="619"/>
        <item x="284"/>
        <item x="750"/>
        <item x="892"/>
        <item x="28"/>
        <item x="374"/>
        <item x="157"/>
        <item x="67"/>
        <item x="379"/>
        <item x="42"/>
        <item x="226"/>
        <item x="643"/>
        <item x="911"/>
        <item x="461"/>
        <item x="61"/>
        <item x="299"/>
        <item x="100"/>
        <item x="546"/>
        <item x="536"/>
        <item x="790"/>
        <item x="373"/>
        <item x="890"/>
        <item x="166"/>
        <item x="348"/>
        <item x="656"/>
        <item x="95"/>
        <item x="920"/>
        <item x="506"/>
        <item x="238"/>
        <item x="783"/>
        <item x="325"/>
        <item x="823"/>
        <item x="849"/>
        <item x="257"/>
        <item x="997"/>
        <item x="606"/>
        <item x="800"/>
        <item x="819"/>
        <item x="553"/>
        <item x="779"/>
        <item x="641"/>
        <item x="599"/>
        <item x="240"/>
        <item x="386"/>
        <item x="457"/>
        <item x="429"/>
        <item x="650"/>
        <item x="495"/>
        <item x="140"/>
        <item x="487"/>
        <item x="529"/>
        <item x="411"/>
        <item x="991"/>
        <item x="909"/>
        <item x="848"/>
        <item x="40"/>
        <item x="200"/>
        <item x="227"/>
        <item x="590"/>
        <item x="805"/>
        <item x="443"/>
        <item x="763"/>
        <item x="500"/>
        <item x="74"/>
        <item x="352"/>
        <item x="241"/>
        <item x="263"/>
        <item x="935"/>
        <item x="360"/>
        <item x="455"/>
        <item x="781"/>
        <item x="359"/>
        <item x="132"/>
        <item x="433"/>
        <item x="382"/>
        <item x="577"/>
        <item x="101"/>
        <item x="237"/>
        <item x="994"/>
        <item x="353"/>
        <item x="811"/>
        <item x="297"/>
        <item x="108"/>
        <item x="19"/>
        <item x="339"/>
        <item x="396"/>
        <item x="460"/>
        <item x="246"/>
        <item x="607"/>
        <item x="430"/>
        <item x="105"/>
        <item x="528"/>
        <item x="724"/>
        <item x="186"/>
        <item x="290"/>
        <item x="986"/>
        <item x="574"/>
        <item x="832"/>
        <item x="158"/>
        <item x="277"/>
        <item x="234"/>
        <item x="426"/>
        <item x="52"/>
        <item x="822"/>
        <item x="23"/>
        <item x="881"/>
        <item x="125"/>
        <item x="951"/>
        <item x="627"/>
        <item x="810"/>
        <item x="343"/>
        <item x="431"/>
        <item x="178"/>
        <item x="83"/>
        <item x="904"/>
        <item x="566"/>
        <item x="213"/>
        <item x="147"/>
        <item x="563"/>
        <item x="595"/>
        <item x="273"/>
        <item x="773"/>
        <item x="846"/>
        <item x="295"/>
        <item x="741"/>
        <item x="549"/>
        <item x="65"/>
        <item x="388"/>
        <item x="208"/>
        <item x="37"/>
        <item x="418"/>
        <item x="809"/>
        <item x="13"/>
        <item x="347"/>
        <item x="405"/>
        <item x="759"/>
        <item x="919"/>
        <item x="286"/>
        <item x="471"/>
        <item x="371"/>
        <item x="702"/>
        <item x="76"/>
        <item x="91"/>
        <item x="539"/>
        <item x="151"/>
        <item x="882"/>
        <item x="192"/>
        <item x="757"/>
        <item x="9"/>
        <item x="421"/>
        <item x="259"/>
        <item x="573"/>
        <item x="610"/>
        <item x="298"/>
        <item x="223"/>
        <item x="288"/>
        <item x="844"/>
        <item x="314"/>
        <item x="98"/>
        <item x="145"/>
        <item x="362"/>
        <item x="283"/>
        <item x="419"/>
        <item x="80"/>
        <item x="99"/>
        <item x="608"/>
        <item x="518"/>
        <item x="895"/>
        <item x="190"/>
        <item x="21"/>
        <item x="560"/>
        <item x="322"/>
        <item x="210"/>
        <item x="416"/>
        <item x="380"/>
        <item x="582"/>
        <item x="228"/>
        <item x="112"/>
        <item x="688"/>
        <item x="957"/>
        <item x="34"/>
        <item x="691"/>
        <item x="786"/>
        <item x="719"/>
        <item x="54"/>
        <item x="674"/>
        <item x="302"/>
        <item x="517"/>
        <item x="39"/>
        <item x="467"/>
        <item x="220"/>
        <item x="465"/>
        <item x="815"/>
        <item x="255"/>
        <item x="438"/>
        <item x="427"/>
        <item x="907"/>
        <item x="224"/>
        <item x="285"/>
        <item x="148"/>
        <item x="547"/>
        <item x="681"/>
        <item x="925"/>
        <item x="916"/>
        <item x="484"/>
        <item x="428"/>
        <item x="589"/>
        <item x="474"/>
        <item x="84"/>
        <item x="219"/>
        <item x="653"/>
        <item x="605"/>
        <item x="29"/>
        <item x="85"/>
        <item x="287"/>
        <item x="331"/>
        <item x="449"/>
        <item x="355"/>
        <item x="637"/>
        <item x="923"/>
        <item x="199"/>
        <item x="710"/>
        <item x="278"/>
        <item x="293"/>
        <item x="572"/>
        <item x="138"/>
        <item x="312"/>
        <item x="2"/>
        <item x="860"/>
        <item x="955"/>
        <item x="747"/>
        <item x="996"/>
        <item x="877"/>
        <item x="215"/>
        <item x="306"/>
        <item x="482"/>
        <item x="43"/>
        <item x="944"/>
        <item x="540"/>
        <item x="385"/>
        <item x="351"/>
        <item x="481"/>
        <item x="14"/>
        <item x="27"/>
        <item x="410"/>
        <item x="172"/>
        <item x="103"/>
        <item x="70"/>
        <item x="953"/>
        <item x="403"/>
        <item x="225"/>
        <item x="498"/>
        <item x="782"/>
        <item x="568"/>
        <item x="102"/>
        <item x="274"/>
        <item x="658"/>
        <item x="289"/>
        <item x="137"/>
        <item x="454"/>
        <item x="519"/>
        <item x="841"/>
        <item x="854"/>
        <item x="594"/>
        <item x="15"/>
        <item x="127"/>
        <item x="921"/>
        <item x="64"/>
        <item x="853"/>
        <item x="333"/>
        <item x="188"/>
        <item x="56"/>
        <item x="544"/>
        <item x="774"/>
        <item x="304"/>
        <item x="216"/>
        <item x="616"/>
        <item x="897"/>
        <item x="721"/>
        <item x="134"/>
        <item x="473"/>
        <item x="316"/>
        <item x="81"/>
        <item x="804"/>
        <item x="72"/>
        <item x="472"/>
        <item x="642"/>
        <item x="649"/>
        <item x="11"/>
        <item x="709"/>
        <item x="839"/>
        <item x="185"/>
        <item x="368"/>
        <item x="931"/>
        <item x="692"/>
        <item x="338"/>
        <item x="665"/>
        <item x="483"/>
        <item x="182"/>
        <item x="818"/>
        <item x="156"/>
        <item x="170"/>
        <item x="840"/>
        <item x="184"/>
        <item x="550"/>
        <item x="477"/>
        <item x="726"/>
        <item x="300"/>
        <item x="708"/>
        <item x="648"/>
        <item x="929"/>
        <item x="634"/>
        <item x="552"/>
        <item x="625"/>
        <item x="891"/>
        <item x="124"/>
        <item x="535"/>
        <item x="655"/>
        <item x="620"/>
        <item x="791"/>
        <item x="926"/>
        <item x="413"/>
        <item x="601"/>
        <item x="675"/>
        <item x="143"/>
        <item x="350"/>
        <item x="749"/>
        <item x="668"/>
        <item x="858"/>
        <item x="993"/>
        <item x="745"/>
        <item x="330"/>
        <item x="144"/>
        <item x="943"/>
        <item x="118"/>
        <item x="196"/>
        <item x="320"/>
        <item x="657"/>
        <item x="488"/>
        <item x="718"/>
        <item x="486"/>
        <item x="422"/>
        <item x="884"/>
        <item x="497"/>
        <item x="575"/>
        <item x="532"/>
        <item x="770"/>
        <item x="889"/>
        <item x="988"/>
        <item x="111"/>
        <item x="139"/>
        <item x="4"/>
        <item x="120"/>
        <item x="209"/>
        <item x="711"/>
        <item x="512"/>
        <item x="995"/>
        <item x="114"/>
        <item x="275"/>
        <item x="384"/>
        <item x="476"/>
        <item x="470"/>
        <item x="578"/>
        <item x="633"/>
        <item x="55"/>
        <item x="110"/>
        <item x="588"/>
        <item x="950"/>
        <item x="153"/>
        <item x="712"/>
        <item x="866"/>
        <item x="323"/>
        <item x="526"/>
        <item x="538"/>
        <item x="962"/>
        <item x="452"/>
        <item x="975"/>
        <item x="366"/>
        <item x="758"/>
        <item x="369"/>
        <item x="928"/>
        <item x="872"/>
        <item x="161"/>
        <item x="865"/>
        <item x="20"/>
        <item x="97"/>
        <item x="404"/>
        <item x="75"/>
        <item x="395"/>
        <item x="788"/>
        <item x="798"/>
        <item x="587"/>
        <item x="491"/>
        <item x="948"/>
        <item x="317"/>
        <item x="768"/>
        <item x="617"/>
        <item x="363"/>
        <item x="242"/>
        <item x="59"/>
        <item x="123"/>
        <item x="622"/>
        <item x="5"/>
        <item x="337"/>
        <item x="689"/>
        <item x="669"/>
        <item x="949"/>
        <item x="24"/>
        <item x="969"/>
        <item x="714"/>
        <item x="776"/>
        <item x="243"/>
        <item x="876"/>
        <item x="755"/>
        <item x="565"/>
        <item x="202"/>
        <item x="765"/>
        <item x="720"/>
        <item x="766"/>
        <item x="233"/>
        <item x="115"/>
        <item x="699"/>
        <item x="597"/>
        <item x="462"/>
        <item x="376"/>
        <item x="660"/>
        <item x="554"/>
        <item x="946"/>
        <item x="441"/>
        <item x="869"/>
        <item x="972"/>
        <item x="179"/>
        <item x="251"/>
        <item x="580"/>
        <item x="912"/>
        <item x="493"/>
        <item x="82"/>
        <item x="33"/>
        <item x="932"/>
        <item x="440"/>
        <item x="824"/>
        <item x="787"/>
        <item x="936"/>
        <item x="12"/>
        <item x="504"/>
        <item x="728"/>
        <item x="446"/>
        <item x="899"/>
        <item x="201"/>
        <item x="435"/>
        <item x="129"/>
        <item x="7"/>
        <item x="922"/>
        <item x="387"/>
        <item x="48"/>
        <item x="825"/>
        <item x="165"/>
        <item x="292"/>
        <item x="31"/>
        <item x="905"/>
        <item x="365"/>
        <item x="958"/>
        <item x="271"/>
        <item x="345"/>
        <item x="342"/>
        <item x="883"/>
        <item x="985"/>
        <item x="183"/>
        <item x="315"/>
        <item x="632"/>
        <item x="524"/>
        <item x="736"/>
        <item x="155"/>
        <item x="181"/>
        <item x="391"/>
        <item x="496"/>
        <item x="629"/>
        <item x="635"/>
        <item x="703"/>
        <item x="701"/>
        <item x="623"/>
        <item x="162"/>
        <item x="261"/>
        <item x="551"/>
        <item x="49"/>
        <item x="812"/>
        <item x="761"/>
        <item x="485"/>
        <item x="799"/>
        <item x="468"/>
        <item x="583"/>
        <item x="516"/>
        <item x="89"/>
        <item x="149"/>
        <item x="697"/>
        <item x="737"/>
        <item x="878"/>
        <item x="987"/>
        <item x="177"/>
        <item x="490"/>
        <item x="644"/>
        <item x="253"/>
        <item x="908"/>
        <item x="212"/>
        <item x="557"/>
        <item x="777"/>
        <item x="945"/>
        <item x="543"/>
        <item x="248"/>
        <item x="591"/>
        <item x="903"/>
        <item x="647"/>
        <item x="191"/>
        <item x="510"/>
        <item x="399"/>
        <item x="249"/>
        <item x="862"/>
        <item x="51"/>
        <item x="119"/>
        <item x="630"/>
        <item x="967"/>
        <item x="174"/>
        <item x="187"/>
        <item x="217"/>
        <item x="556"/>
        <item x="678"/>
        <item x="106"/>
        <item x="258"/>
        <item x="160"/>
        <item x="334"/>
        <item x="533"/>
        <item x="252"/>
        <item x="851"/>
        <item x="963"/>
        <item x="696"/>
        <item x="879"/>
        <item x="335"/>
        <item x="189"/>
        <item x="863"/>
        <item x="8"/>
        <item x="250"/>
        <item x="915"/>
        <item x="466"/>
        <item x="918"/>
        <item x="983"/>
        <item x="128"/>
        <item x="852"/>
        <item x="980"/>
        <item x="742"/>
        <item x="136"/>
        <item x="268"/>
        <item x="150"/>
        <item x="281"/>
        <item x="344"/>
        <item x="445"/>
        <item x="313"/>
        <item x="25"/>
        <item x="176"/>
        <item x="18"/>
        <item x="906"/>
        <item x="870"/>
        <item x="828"/>
        <item x="842"/>
        <item x="406"/>
        <item x="397"/>
        <item x="389"/>
        <item x="142"/>
        <item x="10"/>
        <item x="328"/>
        <item x="964"/>
        <item x="792"/>
        <item x="203"/>
        <item x="754"/>
        <item x="280"/>
        <item x="195"/>
        <item x="968"/>
        <item x="651"/>
        <item x="545"/>
        <item x="570"/>
        <item x="942"/>
        <item x="358"/>
        <item x="733"/>
        <item x="541"/>
        <item x="231"/>
        <item x="646"/>
        <item x="412"/>
        <item x="447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h="1" sd="0" x="0"/>
        <item sd="0" x="1"/>
        <item h="1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 sd="0"/>
      </items>
    </pivotField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oma de Lucro" fld="12" baseField="0" baseItem="0"/>
  </dataFields>
  <chartFormats count="3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8FF15-1920-47E2-9450-D6A5A96AC567}" name="Tabela dinâmica3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37">
  <location ref="F33:H39" firstHeaderRow="0" firstDataRow="1" firstDataCol="1"/>
  <pivotFields count="21">
    <pivotField numFmtId="1" showAll="0"/>
    <pivotField numFmtId="14" showAll="0">
      <items count="181">
        <item x="49"/>
        <item x="148"/>
        <item x="20"/>
        <item x="29"/>
        <item x="161"/>
        <item x="53"/>
        <item x="52"/>
        <item x="75"/>
        <item x="121"/>
        <item x="142"/>
        <item x="115"/>
        <item x="73"/>
        <item x="35"/>
        <item x="147"/>
        <item x="3"/>
        <item x="140"/>
        <item x="149"/>
        <item x="50"/>
        <item x="108"/>
        <item x="179"/>
        <item x="77"/>
        <item x="69"/>
        <item x="173"/>
        <item x="43"/>
        <item x="136"/>
        <item x="36"/>
        <item x="83"/>
        <item x="28"/>
        <item x="133"/>
        <item x="167"/>
        <item x="159"/>
        <item x="23"/>
        <item x="109"/>
        <item x="18"/>
        <item x="16"/>
        <item x="170"/>
        <item x="110"/>
        <item x="132"/>
        <item x="129"/>
        <item x="151"/>
        <item x="123"/>
        <item x="175"/>
        <item x="128"/>
        <item x="174"/>
        <item x="101"/>
        <item x="1"/>
        <item x="30"/>
        <item x="146"/>
        <item x="82"/>
        <item x="155"/>
        <item x="165"/>
        <item x="164"/>
        <item x="91"/>
        <item x="124"/>
        <item x="74"/>
        <item x="106"/>
        <item x="102"/>
        <item x="86"/>
        <item x="97"/>
        <item x="55"/>
        <item x="85"/>
        <item x="117"/>
        <item x="41"/>
        <item x="95"/>
        <item x="44"/>
        <item x="12"/>
        <item x="60"/>
        <item x="114"/>
        <item x="156"/>
        <item x="63"/>
        <item x="5"/>
        <item x="13"/>
        <item x="138"/>
        <item x="89"/>
        <item x="99"/>
        <item x="177"/>
        <item x="68"/>
        <item x="59"/>
        <item x="64"/>
        <item x="137"/>
        <item x="22"/>
        <item x="42"/>
        <item x="116"/>
        <item x="33"/>
        <item x="11"/>
        <item x="158"/>
        <item x="54"/>
        <item x="80"/>
        <item x="81"/>
        <item x="119"/>
        <item x="57"/>
        <item x="134"/>
        <item x="118"/>
        <item x="93"/>
        <item x="65"/>
        <item x="7"/>
        <item x="8"/>
        <item x="120"/>
        <item x="9"/>
        <item x="100"/>
        <item x="37"/>
        <item x="61"/>
        <item x="14"/>
        <item x="58"/>
        <item x="21"/>
        <item x="32"/>
        <item x="111"/>
        <item x="135"/>
        <item x="17"/>
        <item x="172"/>
        <item x="38"/>
        <item x="4"/>
        <item x="145"/>
        <item x="25"/>
        <item x="92"/>
        <item x="171"/>
        <item x="130"/>
        <item x="87"/>
        <item x="96"/>
        <item x="105"/>
        <item x="84"/>
        <item x="166"/>
        <item x="79"/>
        <item x="98"/>
        <item x="139"/>
        <item x="62"/>
        <item x="71"/>
        <item x="178"/>
        <item x="153"/>
        <item x="31"/>
        <item x="48"/>
        <item x="56"/>
        <item x="51"/>
        <item x="103"/>
        <item x="67"/>
        <item x="26"/>
        <item x="104"/>
        <item x="40"/>
        <item x="90"/>
        <item x="144"/>
        <item x="152"/>
        <item x="162"/>
        <item x="34"/>
        <item x="125"/>
        <item x="163"/>
        <item x="154"/>
        <item x="72"/>
        <item x="39"/>
        <item x="47"/>
        <item x="10"/>
        <item x="141"/>
        <item x="6"/>
        <item x="176"/>
        <item x="76"/>
        <item x="127"/>
        <item x="168"/>
        <item x="126"/>
        <item x="94"/>
        <item x="24"/>
        <item x="0"/>
        <item x="27"/>
        <item x="78"/>
        <item x="157"/>
        <item x="160"/>
        <item x="150"/>
        <item x="88"/>
        <item x="131"/>
        <item x="45"/>
        <item x="2"/>
        <item x="169"/>
        <item x="107"/>
        <item x="70"/>
        <item x="122"/>
        <item x="46"/>
        <item x="113"/>
        <item x="143"/>
        <item x="112"/>
        <item x="15"/>
        <item x="66"/>
        <item x="19"/>
        <item t="default"/>
      </items>
    </pivotField>
    <pivotField showAll="0"/>
    <pivotField showAll="0"/>
    <pivotField showAll="0"/>
    <pivotField numFmtId="1" showAll="0"/>
    <pivotField showAll="0"/>
    <pivotField showAll="0"/>
    <pivotField numFmtId="1" showAll="0"/>
    <pivotField numFmtId="44" showAll="0"/>
    <pivotField numFmtId="44" showAll="0"/>
    <pivotField numFmtId="44" showAll="0"/>
    <pivotField dataField="1" numFmtId="44" showAll="0"/>
    <pivotField showAll="0"/>
    <pivotField showAll="0"/>
    <pivotField showAll="0"/>
    <pivotField numFmtId="9" showAll="0">
      <items count="1001">
        <item x="232"/>
        <item x="806"/>
        <item x="707"/>
        <item x="981"/>
        <item x="767"/>
        <item x="26"/>
        <item x="346"/>
        <item x="636"/>
        <item x="698"/>
        <item x="171"/>
        <item x="164"/>
        <item x="291"/>
        <item x="206"/>
        <item x="303"/>
        <item x="530"/>
        <item x="898"/>
        <item x="937"/>
        <item x="417"/>
        <item x="236"/>
        <item x="775"/>
        <item x="522"/>
        <item x="318"/>
        <item x="751"/>
        <item x="850"/>
        <item x="319"/>
        <item x="735"/>
        <item x="294"/>
        <item x="6"/>
        <item x="377"/>
        <item x="327"/>
        <item x="63"/>
        <item x="22"/>
        <item x="581"/>
        <item x="375"/>
        <item x="58"/>
        <item x="838"/>
        <item x="873"/>
        <item x="194"/>
        <item x="598"/>
        <item x="521"/>
        <item x="677"/>
        <item x="886"/>
        <item x="613"/>
        <item x="537"/>
        <item x="965"/>
        <item x="801"/>
        <item x="868"/>
        <item x="652"/>
        <item x="638"/>
        <item x="813"/>
        <item x="940"/>
        <item x="270"/>
        <item x="173"/>
        <item x="398"/>
        <item x="3"/>
        <item x="309"/>
        <item x="383"/>
        <item x="592"/>
        <item x="354"/>
        <item x="456"/>
        <item x="716"/>
        <item x="116"/>
        <item x="378"/>
        <item x="803"/>
        <item x="874"/>
        <item x="340"/>
        <item x="367"/>
        <item x="639"/>
        <item x="576"/>
        <item x="17"/>
        <item x="180"/>
        <item x="992"/>
        <item x="509"/>
        <item x="50"/>
        <item x="885"/>
        <item x="507"/>
        <item x="193"/>
        <item x="723"/>
        <item x="989"/>
        <item x="705"/>
        <item x="221"/>
        <item x="36"/>
        <item x="725"/>
        <item x="401"/>
        <item x="207"/>
        <item x="600"/>
        <item x="402"/>
        <item x="450"/>
        <item x="978"/>
        <item x="864"/>
        <item x="569"/>
        <item x="90"/>
        <item x="244"/>
        <item x="827"/>
        <item x="934"/>
        <item x="71"/>
        <item x="503"/>
        <item x="772"/>
        <item x="982"/>
        <item x="480"/>
        <item x="66"/>
        <item x="459"/>
        <item x="746"/>
        <item x="479"/>
        <item x="645"/>
        <item x="628"/>
        <item x="436"/>
        <item x="73"/>
        <item x="308"/>
        <item x="971"/>
        <item x="167"/>
        <item x="121"/>
        <item x="706"/>
        <item x="836"/>
        <item x="267"/>
        <item x="713"/>
        <item x="807"/>
        <item x="795"/>
        <item x="542"/>
        <item x="855"/>
        <item x="900"/>
        <item x="672"/>
        <item x="211"/>
        <item x="974"/>
        <item x="437"/>
        <item x="738"/>
        <item x="670"/>
        <item x="938"/>
        <item x="442"/>
        <item x="618"/>
        <item x="117"/>
        <item x="947"/>
        <item x="843"/>
        <item x="92"/>
        <item x="567"/>
        <item x="847"/>
        <item x="784"/>
        <item x="310"/>
        <item x="169"/>
        <item x="794"/>
        <item x="673"/>
        <item x="631"/>
        <item x="126"/>
        <item x="654"/>
        <item x="817"/>
        <item x="235"/>
        <item x="86"/>
        <item x="614"/>
        <item x="508"/>
        <item x="717"/>
        <item x="133"/>
        <item x="778"/>
        <item x="769"/>
        <item x="364"/>
        <item x="734"/>
        <item x="694"/>
        <item x="77"/>
        <item x="68"/>
        <item x="585"/>
        <item x="501"/>
        <item x="603"/>
        <item x="559"/>
        <item x="959"/>
        <item x="356"/>
        <item x="357"/>
        <item x="400"/>
        <item x="464"/>
        <item x="511"/>
        <item x="130"/>
        <item x="826"/>
        <item x="612"/>
        <item x="602"/>
        <item x="690"/>
        <item x="414"/>
        <item x="35"/>
        <item x="834"/>
        <item x="499"/>
        <item x="230"/>
        <item x="896"/>
        <item x="785"/>
        <item x="762"/>
        <item x="624"/>
        <item x="680"/>
        <item x="329"/>
        <item x="245"/>
        <item x="424"/>
        <item x="830"/>
        <item x="727"/>
        <item x="956"/>
        <item x="732"/>
        <item x="661"/>
        <item x="584"/>
        <item x="960"/>
        <item x="998"/>
        <item x="282"/>
        <item x="927"/>
        <item x="789"/>
        <item x="141"/>
        <item x="448"/>
        <item x="871"/>
        <item x="888"/>
        <item x="154"/>
        <item x="262"/>
        <item x="146"/>
        <item x="667"/>
        <item x="797"/>
        <item x="558"/>
        <item x="979"/>
        <item x="683"/>
        <item x="814"/>
        <item x="204"/>
        <item x="361"/>
        <item x="321"/>
        <item x="272"/>
        <item x="32"/>
        <item x="764"/>
        <item x="463"/>
        <item x="662"/>
        <item x="829"/>
        <item x="857"/>
        <item x="880"/>
        <item x="296"/>
        <item x="113"/>
        <item x="229"/>
        <item x="685"/>
        <item x="593"/>
        <item x="41"/>
        <item x="562"/>
        <item x="954"/>
        <item x="561"/>
        <item x="453"/>
        <item x="856"/>
        <item x="104"/>
        <item x="88"/>
        <item x="276"/>
        <item x="835"/>
        <item x="502"/>
        <item x="845"/>
        <item x="475"/>
        <item x="53"/>
        <item x="87"/>
        <item x="744"/>
        <item x="444"/>
        <item x="833"/>
        <item x="197"/>
        <item x="534"/>
        <item x="586"/>
        <item x="407"/>
        <item x="214"/>
        <item x="96"/>
        <item x="887"/>
        <item x="279"/>
        <item x="910"/>
        <item x="523"/>
        <item x="861"/>
        <item x="527"/>
        <item x="666"/>
        <item x="469"/>
        <item x="513"/>
        <item x="260"/>
        <item x="370"/>
        <item x="640"/>
        <item x="722"/>
        <item x="752"/>
        <item x="420"/>
        <item x="393"/>
        <item x="687"/>
        <item x="977"/>
        <item x="332"/>
        <item x="381"/>
        <item x="715"/>
        <item x="596"/>
        <item x="924"/>
        <item x="266"/>
        <item x="859"/>
        <item x="970"/>
        <item x="525"/>
        <item x="748"/>
        <item x="684"/>
        <item x="671"/>
        <item x="135"/>
        <item x="79"/>
        <item x="408"/>
        <item x="390"/>
        <item x="867"/>
        <item x="952"/>
        <item x="564"/>
        <item x="109"/>
        <item x="16"/>
        <item x="218"/>
        <item x="159"/>
        <item x="609"/>
        <item x="901"/>
        <item x="686"/>
        <item x="820"/>
        <item x="78"/>
        <item x="198"/>
        <item x="731"/>
        <item x="60"/>
        <item x="520"/>
        <item x="372"/>
        <item x="821"/>
        <item x="679"/>
        <item x="933"/>
        <item x="894"/>
        <item x="837"/>
        <item x="107"/>
        <item x="771"/>
        <item x="740"/>
        <item x="152"/>
        <item x="505"/>
        <item x="489"/>
        <item x="38"/>
        <item x="57"/>
        <item x="743"/>
        <item x="796"/>
        <item x="222"/>
        <item x="394"/>
        <item x="494"/>
        <item x="434"/>
        <item x="659"/>
        <item x="515"/>
        <item x="336"/>
        <item x="122"/>
        <item x="802"/>
        <item x="548"/>
        <item x="451"/>
        <item x="256"/>
        <item x="831"/>
        <item x="311"/>
        <item x="44"/>
        <item x="425"/>
        <item x="663"/>
        <item x="729"/>
        <item x="46"/>
        <item x="902"/>
        <item x="45"/>
        <item x="664"/>
        <item x="254"/>
        <item x="301"/>
        <item x="704"/>
        <item x="531"/>
        <item x="961"/>
        <item x="93"/>
        <item x="753"/>
        <item x="930"/>
        <item x="695"/>
        <item x="239"/>
        <item x="984"/>
        <item x="409"/>
        <item x="621"/>
        <item x="604"/>
        <item x="893"/>
        <item x="30"/>
        <item x="168"/>
        <item x="0"/>
        <item x="349"/>
        <item x="307"/>
        <item x="579"/>
        <item x="730"/>
        <item x="682"/>
        <item x="611"/>
        <item x="247"/>
        <item x="205"/>
        <item x="966"/>
        <item x="94"/>
        <item x="439"/>
        <item x="615"/>
        <item x="999"/>
        <item x="626"/>
        <item x="264"/>
        <item x="939"/>
        <item x="492"/>
        <item x="875"/>
        <item x="514"/>
        <item x="976"/>
        <item x="131"/>
        <item x="571"/>
        <item x="163"/>
        <item x="175"/>
        <item x="760"/>
        <item x="793"/>
        <item x="816"/>
        <item x="69"/>
        <item x="780"/>
        <item x="324"/>
        <item x="415"/>
        <item x="392"/>
        <item x="47"/>
        <item x="265"/>
        <item x="941"/>
        <item x="305"/>
        <item x="269"/>
        <item x="676"/>
        <item x="700"/>
        <item x="341"/>
        <item x="808"/>
        <item x="990"/>
        <item x="917"/>
        <item x="1"/>
        <item x="756"/>
        <item x="914"/>
        <item x="423"/>
        <item x="973"/>
        <item x="458"/>
        <item x="432"/>
        <item x="62"/>
        <item x="913"/>
        <item x="478"/>
        <item x="693"/>
        <item x="326"/>
        <item x="555"/>
        <item x="739"/>
        <item x="619"/>
        <item x="284"/>
        <item x="750"/>
        <item x="892"/>
        <item x="28"/>
        <item x="374"/>
        <item x="157"/>
        <item x="67"/>
        <item x="379"/>
        <item x="42"/>
        <item x="226"/>
        <item x="643"/>
        <item x="911"/>
        <item x="461"/>
        <item x="61"/>
        <item x="299"/>
        <item x="100"/>
        <item x="546"/>
        <item x="536"/>
        <item x="790"/>
        <item x="373"/>
        <item x="890"/>
        <item x="166"/>
        <item x="348"/>
        <item x="656"/>
        <item x="95"/>
        <item x="920"/>
        <item x="506"/>
        <item x="238"/>
        <item x="783"/>
        <item x="325"/>
        <item x="823"/>
        <item x="849"/>
        <item x="257"/>
        <item x="997"/>
        <item x="606"/>
        <item x="800"/>
        <item x="819"/>
        <item x="553"/>
        <item x="779"/>
        <item x="641"/>
        <item x="599"/>
        <item x="240"/>
        <item x="386"/>
        <item x="457"/>
        <item x="429"/>
        <item x="650"/>
        <item x="495"/>
        <item x="140"/>
        <item x="487"/>
        <item x="529"/>
        <item x="411"/>
        <item x="991"/>
        <item x="909"/>
        <item x="848"/>
        <item x="40"/>
        <item x="200"/>
        <item x="227"/>
        <item x="590"/>
        <item x="805"/>
        <item x="443"/>
        <item x="763"/>
        <item x="500"/>
        <item x="74"/>
        <item x="352"/>
        <item x="241"/>
        <item x="263"/>
        <item x="935"/>
        <item x="360"/>
        <item x="455"/>
        <item x="781"/>
        <item x="359"/>
        <item x="132"/>
        <item x="433"/>
        <item x="382"/>
        <item x="577"/>
        <item x="101"/>
        <item x="237"/>
        <item x="994"/>
        <item x="353"/>
        <item x="811"/>
        <item x="297"/>
        <item x="108"/>
        <item x="19"/>
        <item x="339"/>
        <item x="396"/>
        <item x="460"/>
        <item x="246"/>
        <item x="607"/>
        <item x="430"/>
        <item x="105"/>
        <item x="528"/>
        <item x="724"/>
        <item x="186"/>
        <item x="290"/>
        <item x="986"/>
        <item x="574"/>
        <item x="832"/>
        <item x="158"/>
        <item x="277"/>
        <item x="234"/>
        <item x="426"/>
        <item x="52"/>
        <item x="822"/>
        <item x="23"/>
        <item x="881"/>
        <item x="125"/>
        <item x="951"/>
        <item x="627"/>
        <item x="810"/>
        <item x="343"/>
        <item x="431"/>
        <item x="178"/>
        <item x="83"/>
        <item x="904"/>
        <item x="566"/>
        <item x="213"/>
        <item x="147"/>
        <item x="563"/>
        <item x="595"/>
        <item x="273"/>
        <item x="773"/>
        <item x="846"/>
        <item x="295"/>
        <item x="741"/>
        <item x="549"/>
        <item x="65"/>
        <item x="388"/>
        <item x="208"/>
        <item x="37"/>
        <item x="418"/>
        <item x="809"/>
        <item x="13"/>
        <item x="347"/>
        <item x="405"/>
        <item x="759"/>
        <item x="919"/>
        <item x="286"/>
        <item x="471"/>
        <item x="371"/>
        <item x="702"/>
        <item x="76"/>
        <item x="91"/>
        <item x="539"/>
        <item x="151"/>
        <item x="882"/>
        <item x="192"/>
        <item x="757"/>
        <item x="9"/>
        <item x="421"/>
        <item x="259"/>
        <item x="573"/>
        <item x="610"/>
        <item x="298"/>
        <item x="223"/>
        <item x="288"/>
        <item x="844"/>
        <item x="314"/>
        <item x="98"/>
        <item x="145"/>
        <item x="362"/>
        <item x="283"/>
        <item x="419"/>
        <item x="80"/>
        <item x="99"/>
        <item x="608"/>
        <item x="518"/>
        <item x="895"/>
        <item x="190"/>
        <item x="21"/>
        <item x="560"/>
        <item x="322"/>
        <item x="210"/>
        <item x="416"/>
        <item x="380"/>
        <item x="582"/>
        <item x="228"/>
        <item x="112"/>
        <item x="688"/>
        <item x="957"/>
        <item x="34"/>
        <item x="691"/>
        <item x="786"/>
        <item x="719"/>
        <item x="54"/>
        <item x="674"/>
        <item x="302"/>
        <item x="517"/>
        <item x="39"/>
        <item x="467"/>
        <item x="220"/>
        <item x="465"/>
        <item x="815"/>
        <item x="255"/>
        <item x="438"/>
        <item x="427"/>
        <item x="907"/>
        <item x="224"/>
        <item x="285"/>
        <item x="148"/>
        <item x="547"/>
        <item x="681"/>
        <item x="925"/>
        <item x="916"/>
        <item x="484"/>
        <item x="428"/>
        <item x="589"/>
        <item x="474"/>
        <item x="84"/>
        <item x="219"/>
        <item x="653"/>
        <item x="605"/>
        <item x="29"/>
        <item x="85"/>
        <item x="287"/>
        <item x="331"/>
        <item x="449"/>
        <item x="355"/>
        <item x="637"/>
        <item x="923"/>
        <item x="199"/>
        <item x="710"/>
        <item x="278"/>
        <item x="293"/>
        <item x="572"/>
        <item x="138"/>
        <item x="312"/>
        <item x="2"/>
        <item x="860"/>
        <item x="955"/>
        <item x="747"/>
        <item x="996"/>
        <item x="877"/>
        <item x="215"/>
        <item x="306"/>
        <item x="482"/>
        <item x="43"/>
        <item x="944"/>
        <item x="540"/>
        <item x="385"/>
        <item x="351"/>
        <item x="481"/>
        <item x="14"/>
        <item x="27"/>
        <item x="410"/>
        <item x="172"/>
        <item x="103"/>
        <item x="70"/>
        <item x="953"/>
        <item x="403"/>
        <item x="225"/>
        <item x="498"/>
        <item x="782"/>
        <item x="568"/>
        <item x="102"/>
        <item x="274"/>
        <item x="658"/>
        <item x="289"/>
        <item x="137"/>
        <item x="454"/>
        <item x="519"/>
        <item x="841"/>
        <item x="854"/>
        <item x="594"/>
        <item x="15"/>
        <item x="127"/>
        <item x="921"/>
        <item x="64"/>
        <item x="853"/>
        <item x="333"/>
        <item x="188"/>
        <item x="56"/>
        <item x="544"/>
        <item x="774"/>
        <item x="304"/>
        <item x="216"/>
        <item x="616"/>
        <item x="897"/>
        <item x="721"/>
        <item x="134"/>
        <item x="473"/>
        <item x="316"/>
        <item x="81"/>
        <item x="804"/>
        <item x="72"/>
        <item x="472"/>
        <item x="642"/>
        <item x="649"/>
        <item x="11"/>
        <item x="709"/>
        <item x="839"/>
        <item x="185"/>
        <item x="368"/>
        <item x="931"/>
        <item x="692"/>
        <item x="338"/>
        <item x="665"/>
        <item x="483"/>
        <item x="182"/>
        <item x="818"/>
        <item x="156"/>
        <item x="170"/>
        <item x="840"/>
        <item x="184"/>
        <item x="550"/>
        <item x="477"/>
        <item x="726"/>
        <item x="300"/>
        <item x="708"/>
        <item x="648"/>
        <item x="929"/>
        <item x="634"/>
        <item x="552"/>
        <item x="625"/>
        <item x="891"/>
        <item x="124"/>
        <item x="535"/>
        <item x="655"/>
        <item x="620"/>
        <item x="791"/>
        <item x="926"/>
        <item x="413"/>
        <item x="601"/>
        <item x="675"/>
        <item x="143"/>
        <item x="350"/>
        <item x="749"/>
        <item x="668"/>
        <item x="858"/>
        <item x="993"/>
        <item x="745"/>
        <item x="330"/>
        <item x="144"/>
        <item x="943"/>
        <item x="118"/>
        <item x="196"/>
        <item x="320"/>
        <item x="657"/>
        <item x="488"/>
        <item x="718"/>
        <item x="486"/>
        <item x="422"/>
        <item x="884"/>
        <item x="497"/>
        <item x="575"/>
        <item x="532"/>
        <item x="770"/>
        <item x="889"/>
        <item x="988"/>
        <item x="111"/>
        <item x="139"/>
        <item x="4"/>
        <item x="120"/>
        <item x="209"/>
        <item x="711"/>
        <item x="512"/>
        <item x="995"/>
        <item x="114"/>
        <item x="275"/>
        <item x="384"/>
        <item x="476"/>
        <item x="470"/>
        <item x="578"/>
        <item x="633"/>
        <item x="55"/>
        <item x="110"/>
        <item x="588"/>
        <item x="950"/>
        <item x="153"/>
        <item x="712"/>
        <item x="866"/>
        <item x="323"/>
        <item x="526"/>
        <item x="538"/>
        <item x="962"/>
        <item x="452"/>
        <item x="975"/>
        <item x="366"/>
        <item x="758"/>
        <item x="369"/>
        <item x="928"/>
        <item x="872"/>
        <item x="161"/>
        <item x="865"/>
        <item x="20"/>
        <item x="97"/>
        <item x="404"/>
        <item x="75"/>
        <item x="395"/>
        <item x="788"/>
        <item x="798"/>
        <item x="587"/>
        <item x="491"/>
        <item x="948"/>
        <item x="317"/>
        <item x="768"/>
        <item x="617"/>
        <item x="363"/>
        <item x="242"/>
        <item x="59"/>
        <item x="123"/>
        <item x="622"/>
        <item x="5"/>
        <item x="337"/>
        <item x="689"/>
        <item x="669"/>
        <item x="949"/>
        <item x="24"/>
        <item x="969"/>
        <item x="714"/>
        <item x="776"/>
        <item x="243"/>
        <item x="876"/>
        <item x="755"/>
        <item x="565"/>
        <item x="202"/>
        <item x="765"/>
        <item x="720"/>
        <item x="766"/>
        <item x="233"/>
        <item x="115"/>
        <item x="699"/>
        <item x="597"/>
        <item x="462"/>
        <item x="376"/>
        <item x="660"/>
        <item x="554"/>
        <item x="946"/>
        <item x="441"/>
        <item x="869"/>
        <item x="972"/>
        <item x="179"/>
        <item x="251"/>
        <item x="580"/>
        <item x="912"/>
        <item x="493"/>
        <item x="82"/>
        <item x="33"/>
        <item x="932"/>
        <item x="440"/>
        <item x="824"/>
        <item x="787"/>
        <item x="936"/>
        <item x="12"/>
        <item x="504"/>
        <item x="728"/>
        <item x="446"/>
        <item x="899"/>
        <item x="201"/>
        <item x="435"/>
        <item x="129"/>
        <item x="7"/>
        <item x="922"/>
        <item x="387"/>
        <item x="48"/>
        <item x="825"/>
        <item x="165"/>
        <item x="292"/>
        <item x="31"/>
        <item x="905"/>
        <item x="365"/>
        <item x="958"/>
        <item x="271"/>
        <item x="345"/>
        <item x="342"/>
        <item x="883"/>
        <item x="985"/>
        <item x="183"/>
        <item x="315"/>
        <item x="632"/>
        <item x="524"/>
        <item x="736"/>
        <item x="155"/>
        <item x="181"/>
        <item x="391"/>
        <item x="496"/>
        <item x="629"/>
        <item x="635"/>
        <item x="703"/>
        <item x="701"/>
        <item x="623"/>
        <item x="162"/>
        <item x="261"/>
        <item x="551"/>
        <item x="49"/>
        <item x="812"/>
        <item x="761"/>
        <item x="485"/>
        <item x="799"/>
        <item x="468"/>
        <item x="583"/>
        <item x="516"/>
        <item x="89"/>
        <item x="149"/>
        <item x="697"/>
        <item x="737"/>
        <item x="878"/>
        <item x="987"/>
        <item x="177"/>
        <item x="490"/>
        <item x="644"/>
        <item x="253"/>
        <item x="908"/>
        <item x="212"/>
        <item x="557"/>
        <item x="777"/>
        <item x="945"/>
        <item x="543"/>
        <item x="248"/>
        <item x="591"/>
        <item x="903"/>
        <item x="647"/>
        <item x="191"/>
        <item x="510"/>
        <item x="399"/>
        <item x="249"/>
        <item x="862"/>
        <item x="51"/>
        <item x="119"/>
        <item x="630"/>
        <item x="967"/>
        <item x="174"/>
        <item x="187"/>
        <item x="217"/>
        <item x="556"/>
        <item x="678"/>
        <item x="106"/>
        <item x="258"/>
        <item x="160"/>
        <item x="334"/>
        <item x="533"/>
        <item x="252"/>
        <item x="851"/>
        <item x="963"/>
        <item x="696"/>
        <item x="879"/>
        <item x="335"/>
        <item x="189"/>
        <item x="863"/>
        <item x="8"/>
        <item x="250"/>
        <item x="915"/>
        <item x="466"/>
        <item x="918"/>
        <item x="983"/>
        <item x="128"/>
        <item x="852"/>
        <item x="980"/>
        <item x="742"/>
        <item x="136"/>
        <item x="268"/>
        <item x="150"/>
        <item x="281"/>
        <item x="344"/>
        <item x="445"/>
        <item x="313"/>
        <item x="25"/>
        <item x="176"/>
        <item x="18"/>
        <item x="906"/>
        <item x="870"/>
        <item x="828"/>
        <item x="842"/>
        <item x="406"/>
        <item x="397"/>
        <item x="389"/>
        <item x="142"/>
        <item x="10"/>
        <item x="328"/>
        <item x="964"/>
        <item x="792"/>
        <item x="203"/>
        <item x="754"/>
        <item x="280"/>
        <item x="195"/>
        <item x="968"/>
        <item x="651"/>
        <item x="545"/>
        <item x="570"/>
        <item x="942"/>
        <item x="358"/>
        <item x="733"/>
        <item x="541"/>
        <item x="231"/>
        <item x="646"/>
        <item x="412"/>
        <item x="447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dragToRow="0" dragToCol="0" dragToPage="0" showAll="0" defaultSubtotal="0"/>
  </pivotFields>
  <rowFields count="1">
    <field x="19"/>
  </rowFields>
  <rowItems count="6"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Soma de Margem Total" fld="20" baseField="0" baseItem="0" numFmtId="165"/>
    <dataField name="Soma de Lucro" fld="12" baseField="0" baseItem="0"/>
  </dataFields>
  <chartFormats count="9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3E145-B541-4E67-8DFA-964225972734}" name="Tabela dinâmica2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9">
  <location ref="A14:B18" firstHeaderRow="1" firstDataRow="1" firstDataCol="1"/>
  <pivotFields count="21">
    <pivotField numFmtId="1" showAll="0"/>
    <pivotField numFmtId="14" showAll="0">
      <items count="181">
        <item x="49"/>
        <item x="148"/>
        <item x="20"/>
        <item x="29"/>
        <item x="161"/>
        <item x="53"/>
        <item x="52"/>
        <item x="75"/>
        <item x="121"/>
        <item x="142"/>
        <item x="115"/>
        <item x="73"/>
        <item x="35"/>
        <item x="147"/>
        <item x="3"/>
        <item x="140"/>
        <item x="149"/>
        <item x="50"/>
        <item x="108"/>
        <item x="179"/>
        <item x="77"/>
        <item x="69"/>
        <item x="173"/>
        <item x="43"/>
        <item x="136"/>
        <item x="36"/>
        <item x="83"/>
        <item x="28"/>
        <item x="133"/>
        <item x="167"/>
        <item x="159"/>
        <item x="23"/>
        <item x="109"/>
        <item x="18"/>
        <item x="16"/>
        <item x="170"/>
        <item x="110"/>
        <item x="132"/>
        <item x="129"/>
        <item x="151"/>
        <item x="123"/>
        <item x="175"/>
        <item x="128"/>
        <item x="174"/>
        <item x="101"/>
        <item x="1"/>
        <item x="30"/>
        <item x="146"/>
        <item x="82"/>
        <item x="155"/>
        <item x="165"/>
        <item x="164"/>
        <item x="91"/>
        <item x="124"/>
        <item x="74"/>
        <item x="106"/>
        <item x="102"/>
        <item x="86"/>
        <item x="97"/>
        <item x="55"/>
        <item x="85"/>
        <item x="117"/>
        <item x="41"/>
        <item x="95"/>
        <item x="44"/>
        <item x="12"/>
        <item x="60"/>
        <item x="114"/>
        <item x="156"/>
        <item x="63"/>
        <item x="5"/>
        <item x="13"/>
        <item x="138"/>
        <item x="89"/>
        <item x="99"/>
        <item x="177"/>
        <item x="68"/>
        <item x="59"/>
        <item x="64"/>
        <item x="137"/>
        <item x="22"/>
        <item x="42"/>
        <item x="116"/>
        <item x="33"/>
        <item x="11"/>
        <item x="158"/>
        <item x="54"/>
        <item x="80"/>
        <item x="81"/>
        <item x="119"/>
        <item x="57"/>
        <item x="134"/>
        <item x="118"/>
        <item x="93"/>
        <item x="65"/>
        <item x="7"/>
        <item x="8"/>
        <item x="120"/>
        <item x="9"/>
        <item x="100"/>
        <item x="37"/>
        <item x="61"/>
        <item x="14"/>
        <item x="58"/>
        <item x="21"/>
        <item x="32"/>
        <item x="111"/>
        <item x="135"/>
        <item x="17"/>
        <item x="172"/>
        <item x="38"/>
        <item x="4"/>
        <item x="145"/>
        <item x="25"/>
        <item x="92"/>
        <item x="171"/>
        <item x="130"/>
        <item x="87"/>
        <item x="96"/>
        <item x="105"/>
        <item x="84"/>
        <item x="166"/>
        <item x="79"/>
        <item x="98"/>
        <item x="139"/>
        <item x="62"/>
        <item x="71"/>
        <item x="178"/>
        <item x="153"/>
        <item x="31"/>
        <item x="48"/>
        <item x="56"/>
        <item x="51"/>
        <item x="103"/>
        <item x="67"/>
        <item x="26"/>
        <item x="104"/>
        <item x="40"/>
        <item x="90"/>
        <item x="144"/>
        <item x="152"/>
        <item x="162"/>
        <item x="34"/>
        <item x="125"/>
        <item x="163"/>
        <item x="154"/>
        <item x="72"/>
        <item x="39"/>
        <item x="47"/>
        <item x="10"/>
        <item x="141"/>
        <item x="6"/>
        <item x="176"/>
        <item x="76"/>
        <item x="127"/>
        <item x="168"/>
        <item x="126"/>
        <item x="94"/>
        <item x="24"/>
        <item x="0"/>
        <item x="27"/>
        <item x="78"/>
        <item x="157"/>
        <item x="160"/>
        <item x="150"/>
        <item x="88"/>
        <item x="131"/>
        <item x="45"/>
        <item x="2"/>
        <item x="169"/>
        <item x="107"/>
        <item x="70"/>
        <item x="122"/>
        <item x="46"/>
        <item x="113"/>
        <item x="143"/>
        <item x="112"/>
        <item x="15"/>
        <item x="66"/>
        <item x="19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6">
        <item x="1"/>
        <item x="4"/>
        <item x="0"/>
        <item x="3"/>
        <item x="2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numFmtId="1" showAll="0"/>
    <pivotField showAll="0">
      <items count="4">
        <item x="1"/>
        <item x="0"/>
        <item x="2"/>
        <item t="default"/>
      </items>
    </pivotField>
    <pivotField showAll="0">
      <items count="6">
        <item x="4"/>
        <item x="2"/>
        <item x="1"/>
        <item x="0"/>
        <item x="3"/>
        <item t="default"/>
      </items>
    </pivotField>
    <pivotField numFmtId="1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44" showAll="0"/>
    <pivotField numFmtId="44" showAll="0"/>
    <pivotField numFmtId="44" showAll="0"/>
    <pivotField dataField="1" numFmtId="44" showAll="0"/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6">
        <item x="4"/>
        <item x="3"/>
        <item x="1"/>
        <item x="2"/>
        <item x="0"/>
        <item t="default"/>
      </items>
    </pivotField>
    <pivotField numFmtId="9" showAll="0">
      <items count="1001">
        <item x="232"/>
        <item x="806"/>
        <item x="707"/>
        <item x="981"/>
        <item x="767"/>
        <item x="26"/>
        <item x="346"/>
        <item x="636"/>
        <item x="698"/>
        <item x="171"/>
        <item x="164"/>
        <item x="291"/>
        <item x="206"/>
        <item x="303"/>
        <item x="530"/>
        <item x="898"/>
        <item x="937"/>
        <item x="417"/>
        <item x="236"/>
        <item x="775"/>
        <item x="522"/>
        <item x="318"/>
        <item x="751"/>
        <item x="850"/>
        <item x="319"/>
        <item x="735"/>
        <item x="294"/>
        <item x="6"/>
        <item x="377"/>
        <item x="327"/>
        <item x="63"/>
        <item x="22"/>
        <item x="581"/>
        <item x="375"/>
        <item x="58"/>
        <item x="838"/>
        <item x="873"/>
        <item x="194"/>
        <item x="598"/>
        <item x="521"/>
        <item x="677"/>
        <item x="886"/>
        <item x="613"/>
        <item x="537"/>
        <item x="965"/>
        <item x="801"/>
        <item x="868"/>
        <item x="652"/>
        <item x="638"/>
        <item x="813"/>
        <item x="940"/>
        <item x="270"/>
        <item x="173"/>
        <item x="398"/>
        <item x="3"/>
        <item x="309"/>
        <item x="383"/>
        <item x="592"/>
        <item x="354"/>
        <item x="456"/>
        <item x="716"/>
        <item x="116"/>
        <item x="378"/>
        <item x="803"/>
        <item x="874"/>
        <item x="340"/>
        <item x="367"/>
        <item x="639"/>
        <item x="576"/>
        <item x="17"/>
        <item x="180"/>
        <item x="992"/>
        <item x="509"/>
        <item x="50"/>
        <item x="885"/>
        <item x="507"/>
        <item x="193"/>
        <item x="723"/>
        <item x="989"/>
        <item x="705"/>
        <item x="221"/>
        <item x="36"/>
        <item x="725"/>
        <item x="401"/>
        <item x="207"/>
        <item x="600"/>
        <item x="402"/>
        <item x="450"/>
        <item x="978"/>
        <item x="864"/>
        <item x="569"/>
        <item x="90"/>
        <item x="244"/>
        <item x="827"/>
        <item x="934"/>
        <item x="71"/>
        <item x="503"/>
        <item x="772"/>
        <item x="982"/>
        <item x="480"/>
        <item x="66"/>
        <item x="459"/>
        <item x="746"/>
        <item x="479"/>
        <item x="645"/>
        <item x="628"/>
        <item x="436"/>
        <item x="73"/>
        <item x="308"/>
        <item x="971"/>
        <item x="167"/>
        <item x="121"/>
        <item x="706"/>
        <item x="836"/>
        <item x="267"/>
        <item x="713"/>
        <item x="807"/>
        <item x="795"/>
        <item x="542"/>
        <item x="855"/>
        <item x="900"/>
        <item x="672"/>
        <item x="211"/>
        <item x="974"/>
        <item x="437"/>
        <item x="738"/>
        <item x="670"/>
        <item x="938"/>
        <item x="442"/>
        <item x="618"/>
        <item x="117"/>
        <item x="947"/>
        <item x="843"/>
        <item x="92"/>
        <item x="567"/>
        <item x="847"/>
        <item x="784"/>
        <item x="310"/>
        <item x="169"/>
        <item x="794"/>
        <item x="673"/>
        <item x="631"/>
        <item x="126"/>
        <item x="654"/>
        <item x="817"/>
        <item x="235"/>
        <item x="86"/>
        <item x="614"/>
        <item x="508"/>
        <item x="717"/>
        <item x="133"/>
        <item x="778"/>
        <item x="769"/>
        <item x="364"/>
        <item x="734"/>
        <item x="694"/>
        <item x="77"/>
        <item x="68"/>
        <item x="585"/>
        <item x="501"/>
        <item x="603"/>
        <item x="559"/>
        <item x="959"/>
        <item x="356"/>
        <item x="357"/>
        <item x="400"/>
        <item x="464"/>
        <item x="511"/>
        <item x="130"/>
        <item x="826"/>
        <item x="612"/>
        <item x="602"/>
        <item x="690"/>
        <item x="414"/>
        <item x="35"/>
        <item x="834"/>
        <item x="499"/>
        <item x="230"/>
        <item x="896"/>
        <item x="785"/>
        <item x="762"/>
        <item x="624"/>
        <item x="680"/>
        <item x="329"/>
        <item x="245"/>
        <item x="424"/>
        <item x="830"/>
        <item x="727"/>
        <item x="956"/>
        <item x="732"/>
        <item x="661"/>
        <item x="584"/>
        <item x="960"/>
        <item x="998"/>
        <item x="282"/>
        <item x="927"/>
        <item x="789"/>
        <item x="141"/>
        <item x="448"/>
        <item x="871"/>
        <item x="888"/>
        <item x="154"/>
        <item x="262"/>
        <item x="146"/>
        <item x="667"/>
        <item x="797"/>
        <item x="558"/>
        <item x="979"/>
        <item x="683"/>
        <item x="814"/>
        <item x="204"/>
        <item x="361"/>
        <item x="321"/>
        <item x="272"/>
        <item x="32"/>
        <item x="764"/>
        <item x="463"/>
        <item x="662"/>
        <item x="829"/>
        <item x="857"/>
        <item x="880"/>
        <item x="296"/>
        <item x="113"/>
        <item x="229"/>
        <item x="685"/>
        <item x="593"/>
        <item x="41"/>
        <item x="562"/>
        <item x="954"/>
        <item x="561"/>
        <item x="453"/>
        <item x="856"/>
        <item x="104"/>
        <item x="88"/>
        <item x="276"/>
        <item x="835"/>
        <item x="502"/>
        <item x="845"/>
        <item x="475"/>
        <item x="53"/>
        <item x="87"/>
        <item x="744"/>
        <item x="444"/>
        <item x="833"/>
        <item x="197"/>
        <item x="534"/>
        <item x="586"/>
        <item x="407"/>
        <item x="214"/>
        <item x="96"/>
        <item x="887"/>
        <item x="279"/>
        <item x="910"/>
        <item x="523"/>
        <item x="861"/>
        <item x="527"/>
        <item x="666"/>
        <item x="469"/>
        <item x="513"/>
        <item x="260"/>
        <item x="370"/>
        <item x="640"/>
        <item x="722"/>
        <item x="752"/>
        <item x="420"/>
        <item x="393"/>
        <item x="687"/>
        <item x="977"/>
        <item x="332"/>
        <item x="381"/>
        <item x="715"/>
        <item x="596"/>
        <item x="924"/>
        <item x="266"/>
        <item x="859"/>
        <item x="970"/>
        <item x="525"/>
        <item x="748"/>
        <item x="684"/>
        <item x="671"/>
        <item x="135"/>
        <item x="79"/>
        <item x="408"/>
        <item x="390"/>
        <item x="867"/>
        <item x="952"/>
        <item x="564"/>
        <item x="109"/>
        <item x="16"/>
        <item x="218"/>
        <item x="159"/>
        <item x="609"/>
        <item x="901"/>
        <item x="686"/>
        <item x="820"/>
        <item x="78"/>
        <item x="198"/>
        <item x="731"/>
        <item x="60"/>
        <item x="520"/>
        <item x="372"/>
        <item x="821"/>
        <item x="679"/>
        <item x="933"/>
        <item x="894"/>
        <item x="837"/>
        <item x="107"/>
        <item x="771"/>
        <item x="740"/>
        <item x="152"/>
        <item x="505"/>
        <item x="489"/>
        <item x="38"/>
        <item x="57"/>
        <item x="743"/>
        <item x="796"/>
        <item x="222"/>
        <item x="394"/>
        <item x="494"/>
        <item x="434"/>
        <item x="659"/>
        <item x="515"/>
        <item x="336"/>
        <item x="122"/>
        <item x="802"/>
        <item x="548"/>
        <item x="451"/>
        <item x="256"/>
        <item x="831"/>
        <item x="311"/>
        <item x="44"/>
        <item x="425"/>
        <item x="663"/>
        <item x="729"/>
        <item x="46"/>
        <item x="902"/>
        <item x="45"/>
        <item x="664"/>
        <item x="254"/>
        <item x="301"/>
        <item x="704"/>
        <item x="531"/>
        <item x="961"/>
        <item x="93"/>
        <item x="753"/>
        <item x="930"/>
        <item x="695"/>
        <item x="239"/>
        <item x="984"/>
        <item x="409"/>
        <item x="621"/>
        <item x="604"/>
        <item x="893"/>
        <item x="30"/>
        <item x="168"/>
        <item x="0"/>
        <item x="349"/>
        <item x="307"/>
        <item x="579"/>
        <item x="730"/>
        <item x="682"/>
        <item x="611"/>
        <item x="247"/>
        <item x="205"/>
        <item x="966"/>
        <item x="94"/>
        <item x="439"/>
        <item x="615"/>
        <item x="999"/>
        <item x="626"/>
        <item x="264"/>
        <item x="939"/>
        <item x="492"/>
        <item x="875"/>
        <item x="514"/>
        <item x="976"/>
        <item x="131"/>
        <item x="571"/>
        <item x="163"/>
        <item x="175"/>
        <item x="760"/>
        <item x="793"/>
        <item x="816"/>
        <item x="69"/>
        <item x="780"/>
        <item x="324"/>
        <item x="415"/>
        <item x="392"/>
        <item x="47"/>
        <item x="265"/>
        <item x="941"/>
        <item x="305"/>
        <item x="269"/>
        <item x="676"/>
        <item x="700"/>
        <item x="341"/>
        <item x="808"/>
        <item x="990"/>
        <item x="917"/>
        <item x="1"/>
        <item x="756"/>
        <item x="914"/>
        <item x="423"/>
        <item x="973"/>
        <item x="458"/>
        <item x="432"/>
        <item x="62"/>
        <item x="913"/>
        <item x="478"/>
        <item x="693"/>
        <item x="326"/>
        <item x="555"/>
        <item x="739"/>
        <item x="619"/>
        <item x="284"/>
        <item x="750"/>
        <item x="892"/>
        <item x="28"/>
        <item x="374"/>
        <item x="157"/>
        <item x="67"/>
        <item x="379"/>
        <item x="42"/>
        <item x="226"/>
        <item x="643"/>
        <item x="911"/>
        <item x="461"/>
        <item x="61"/>
        <item x="299"/>
        <item x="100"/>
        <item x="546"/>
        <item x="536"/>
        <item x="790"/>
        <item x="373"/>
        <item x="890"/>
        <item x="166"/>
        <item x="348"/>
        <item x="656"/>
        <item x="95"/>
        <item x="920"/>
        <item x="506"/>
        <item x="238"/>
        <item x="783"/>
        <item x="325"/>
        <item x="823"/>
        <item x="849"/>
        <item x="257"/>
        <item x="997"/>
        <item x="606"/>
        <item x="800"/>
        <item x="819"/>
        <item x="553"/>
        <item x="779"/>
        <item x="641"/>
        <item x="599"/>
        <item x="240"/>
        <item x="386"/>
        <item x="457"/>
        <item x="429"/>
        <item x="650"/>
        <item x="495"/>
        <item x="140"/>
        <item x="487"/>
        <item x="529"/>
        <item x="411"/>
        <item x="991"/>
        <item x="909"/>
        <item x="848"/>
        <item x="40"/>
        <item x="200"/>
        <item x="227"/>
        <item x="590"/>
        <item x="805"/>
        <item x="443"/>
        <item x="763"/>
        <item x="500"/>
        <item x="74"/>
        <item x="352"/>
        <item x="241"/>
        <item x="263"/>
        <item x="935"/>
        <item x="360"/>
        <item x="455"/>
        <item x="781"/>
        <item x="359"/>
        <item x="132"/>
        <item x="433"/>
        <item x="382"/>
        <item x="577"/>
        <item x="101"/>
        <item x="237"/>
        <item x="994"/>
        <item x="353"/>
        <item x="811"/>
        <item x="297"/>
        <item x="108"/>
        <item x="19"/>
        <item x="339"/>
        <item x="396"/>
        <item x="460"/>
        <item x="246"/>
        <item x="607"/>
        <item x="430"/>
        <item x="105"/>
        <item x="528"/>
        <item x="724"/>
        <item x="186"/>
        <item x="290"/>
        <item x="986"/>
        <item x="574"/>
        <item x="832"/>
        <item x="158"/>
        <item x="277"/>
        <item x="234"/>
        <item x="426"/>
        <item x="52"/>
        <item x="822"/>
        <item x="23"/>
        <item x="881"/>
        <item x="125"/>
        <item x="951"/>
        <item x="627"/>
        <item x="810"/>
        <item x="343"/>
        <item x="431"/>
        <item x="178"/>
        <item x="83"/>
        <item x="904"/>
        <item x="566"/>
        <item x="213"/>
        <item x="147"/>
        <item x="563"/>
        <item x="595"/>
        <item x="273"/>
        <item x="773"/>
        <item x="846"/>
        <item x="295"/>
        <item x="741"/>
        <item x="549"/>
        <item x="65"/>
        <item x="388"/>
        <item x="208"/>
        <item x="37"/>
        <item x="418"/>
        <item x="809"/>
        <item x="13"/>
        <item x="347"/>
        <item x="405"/>
        <item x="759"/>
        <item x="919"/>
        <item x="286"/>
        <item x="471"/>
        <item x="371"/>
        <item x="702"/>
        <item x="76"/>
        <item x="91"/>
        <item x="539"/>
        <item x="151"/>
        <item x="882"/>
        <item x="192"/>
        <item x="757"/>
        <item x="9"/>
        <item x="421"/>
        <item x="259"/>
        <item x="573"/>
        <item x="610"/>
        <item x="298"/>
        <item x="223"/>
        <item x="288"/>
        <item x="844"/>
        <item x="314"/>
        <item x="98"/>
        <item x="145"/>
        <item x="362"/>
        <item x="283"/>
        <item x="419"/>
        <item x="80"/>
        <item x="99"/>
        <item x="608"/>
        <item x="518"/>
        <item x="895"/>
        <item x="190"/>
        <item x="21"/>
        <item x="560"/>
        <item x="322"/>
        <item x="210"/>
        <item x="416"/>
        <item x="380"/>
        <item x="582"/>
        <item x="228"/>
        <item x="112"/>
        <item x="688"/>
        <item x="957"/>
        <item x="34"/>
        <item x="691"/>
        <item x="786"/>
        <item x="719"/>
        <item x="54"/>
        <item x="674"/>
        <item x="302"/>
        <item x="517"/>
        <item x="39"/>
        <item x="467"/>
        <item x="220"/>
        <item x="465"/>
        <item x="815"/>
        <item x="255"/>
        <item x="438"/>
        <item x="427"/>
        <item x="907"/>
        <item x="224"/>
        <item x="285"/>
        <item x="148"/>
        <item x="547"/>
        <item x="681"/>
        <item x="925"/>
        <item x="916"/>
        <item x="484"/>
        <item x="428"/>
        <item x="589"/>
        <item x="474"/>
        <item x="84"/>
        <item x="219"/>
        <item x="653"/>
        <item x="605"/>
        <item x="29"/>
        <item x="85"/>
        <item x="287"/>
        <item x="331"/>
        <item x="449"/>
        <item x="355"/>
        <item x="637"/>
        <item x="923"/>
        <item x="199"/>
        <item x="710"/>
        <item x="278"/>
        <item x="293"/>
        <item x="572"/>
        <item x="138"/>
        <item x="312"/>
        <item x="2"/>
        <item x="860"/>
        <item x="955"/>
        <item x="747"/>
        <item x="996"/>
        <item x="877"/>
        <item x="215"/>
        <item x="306"/>
        <item x="482"/>
        <item x="43"/>
        <item x="944"/>
        <item x="540"/>
        <item x="385"/>
        <item x="351"/>
        <item x="481"/>
        <item x="14"/>
        <item x="27"/>
        <item x="410"/>
        <item x="172"/>
        <item x="103"/>
        <item x="70"/>
        <item x="953"/>
        <item x="403"/>
        <item x="225"/>
        <item x="498"/>
        <item x="782"/>
        <item x="568"/>
        <item x="102"/>
        <item x="274"/>
        <item x="658"/>
        <item x="289"/>
        <item x="137"/>
        <item x="454"/>
        <item x="519"/>
        <item x="841"/>
        <item x="854"/>
        <item x="594"/>
        <item x="15"/>
        <item x="127"/>
        <item x="921"/>
        <item x="64"/>
        <item x="853"/>
        <item x="333"/>
        <item x="188"/>
        <item x="56"/>
        <item x="544"/>
        <item x="774"/>
        <item x="304"/>
        <item x="216"/>
        <item x="616"/>
        <item x="897"/>
        <item x="721"/>
        <item x="134"/>
        <item x="473"/>
        <item x="316"/>
        <item x="81"/>
        <item x="804"/>
        <item x="72"/>
        <item x="472"/>
        <item x="642"/>
        <item x="649"/>
        <item x="11"/>
        <item x="709"/>
        <item x="839"/>
        <item x="185"/>
        <item x="368"/>
        <item x="931"/>
        <item x="692"/>
        <item x="338"/>
        <item x="665"/>
        <item x="483"/>
        <item x="182"/>
        <item x="818"/>
        <item x="156"/>
        <item x="170"/>
        <item x="840"/>
        <item x="184"/>
        <item x="550"/>
        <item x="477"/>
        <item x="726"/>
        <item x="300"/>
        <item x="708"/>
        <item x="648"/>
        <item x="929"/>
        <item x="634"/>
        <item x="552"/>
        <item x="625"/>
        <item x="891"/>
        <item x="124"/>
        <item x="535"/>
        <item x="655"/>
        <item x="620"/>
        <item x="791"/>
        <item x="926"/>
        <item x="413"/>
        <item x="601"/>
        <item x="675"/>
        <item x="143"/>
        <item x="350"/>
        <item x="749"/>
        <item x="668"/>
        <item x="858"/>
        <item x="993"/>
        <item x="745"/>
        <item x="330"/>
        <item x="144"/>
        <item x="943"/>
        <item x="118"/>
        <item x="196"/>
        <item x="320"/>
        <item x="657"/>
        <item x="488"/>
        <item x="718"/>
        <item x="486"/>
        <item x="422"/>
        <item x="884"/>
        <item x="497"/>
        <item x="575"/>
        <item x="532"/>
        <item x="770"/>
        <item x="889"/>
        <item x="988"/>
        <item x="111"/>
        <item x="139"/>
        <item x="4"/>
        <item x="120"/>
        <item x="209"/>
        <item x="711"/>
        <item x="512"/>
        <item x="995"/>
        <item x="114"/>
        <item x="275"/>
        <item x="384"/>
        <item x="476"/>
        <item x="470"/>
        <item x="578"/>
        <item x="633"/>
        <item x="55"/>
        <item x="110"/>
        <item x="588"/>
        <item x="950"/>
        <item x="153"/>
        <item x="712"/>
        <item x="866"/>
        <item x="323"/>
        <item x="526"/>
        <item x="538"/>
        <item x="962"/>
        <item x="452"/>
        <item x="975"/>
        <item x="366"/>
        <item x="758"/>
        <item x="369"/>
        <item x="928"/>
        <item x="872"/>
        <item x="161"/>
        <item x="865"/>
        <item x="20"/>
        <item x="97"/>
        <item x="404"/>
        <item x="75"/>
        <item x="395"/>
        <item x="788"/>
        <item x="798"/>
        <item x="587"/>
        <item x="491"/>
        <item x="948"/>
        <item x="317"/>
        <item x="768"/>
        <item x="617"/>
        <item x="363"/>
        <item x="242"/>
        <item x="59"/>
        <item x="123"/>
        <item x="622"/>
        <item x="5"/>
        <item x="337"/>
        <item x="689"/>
        <item x="669"/>
        <item x="949"/>
        <item x="24"/>
        <item x="969"/>
        <item x="714"/>
        <item x="776"/>
        <item x="243"/>
        <item x="876"/>
        <item x="755"/>
        <item x="565"/>
        <item x="202"/>
        <item x="765"/>
        <item x="720"/>
        <item x="766"/>
        <item x="233"/>
        <item x="115"/>
        <item x="699"/>
        <item x="597"/>
        <item x="462"/>
        <item x="376"/>
        <item x="660"/>
        <item x="554"/>
        <item x="946"/>
        <item x="441"/>
        <item x="869"/>
        <item x="972"/>
        <item x="179"/>
        <item x="251"/>
        <item x="580"/>
        <item x="912"/>
        <item x="493"/>
        <item x="82"/>
        <item x="33"/>
        <item x="932"/>
        <item x="440"/>
        <item x="824"/>
        <item x="787"/>
        <item x="936"/>
        <item x="12"/>
        <item x="504"/>
        <item x="728"/>
        <item x="446"/>
        <item x="899"/>
        <item x="201"/>
        <item x="435"/>
        <item x="129"/>
        <item x="7"/>
        <item x="922"/>
        <item x="387"/>
        <item x="48"/>
        <item x="825"/>
        <item x="165"/>
        <item x="292"/>
        <item x="31"/>
        <item x="905"/>
        <item x="365"/>
        <item x="958"/>
        <item x="271"/>
        <item x="345"/>
        <item x="342"/>
        <item x="883"/>
        <item x="985"/>
        <item x="183"/>
        <item x="315"/>
        <item x="632"/>
        <item x="524"/>
        <item x="736"/>
        <item x="155"/>
        <item x="181"/>
        <item x="391"/>
        <item x="496"/>
        <item x="629"/>
        <item x="635"/>
        <item x="703"/>
        <item x="701"/>
        <item x="623"/>
        <item x="162"/>
        <item x="261"/>
        <item x="551"/>
        <item x="49"/>
        <item x="812"/>
        <item x="761"/>
        <item x="485"/>
        <item x="799"/>
        <item x="468"/>
        <item x="583"/>
        <item x="516"/>
        <item x="89"/>
        <item x="149"/>
        <item x="697"/>
        <item x="737"/>
        <item x="878"/>
        <item x="987"/>
        <item x="177"/>
        <item x="490"/>
        <item x="644"/>
        <item x="253"/>
        <item x="908"/>
        <item x="212"/>
        <item x="557"/>
        <item x="777"/>
        <item x="945"/>
        <item x="543"/>
        <item x="248"/>
        <item x="591"/>
        <item x="903"/>
        <item x="647"/>
        <item x="191"/>
        <item x="510"/>
        <item x="399"/>
        <item x="249"/>
        <item x="862"/>
        <item x="51"/>
        <item x="119"/>
        <item x="630"/>
        <item x="967"/>
        <item x="174"/>
        <item x="187"/>
        <item x="217"/>
        <item x="556"/>
        <item x="678"/>
        <item x="106"/>
        <item x="258"/>
        <item x="160"/>
        <item x="334"/>
        <item x="533"/>
        <item x="252"/>
        <item x="851"/>
        <item x="963"/>
        <item x="696"/>
        <item x="879"/>
        <item x="335"/>
        <item x="189"/>
        <item x="863"/>
        <item x="8"/>
        <item x="250"/>
        <item x="915"/>
        <item x="466"/>
        <item x="918"/>
        <item x="983"/>
        <item x="128"/>
        <item x="852"/>
        <item x="980"/>
        <item x="742"/>
        <item x="136"/>
        <item x="268"/>
        <item x="150"/>
        <item x="281"/>
        <item x="344"/>
        <item x="445"/>
        <item x="313"/>
        <item x="25"/>
        <item x="176"/>
        <item x="18"/>
        <item x="906"/>
        <item x="870"/>
        <item x="828"/>
        <item x="842"/>
        <item x="406"/>
        <item x="397"/>
        <item x="389"/>
        <item x="142"/>
        <item x="10"/>
        <item x="328"/>
        <item x="964"/>
        <item x="792"/>
        <item x="203"/>
        <item x="754"/>
        <item x="280"/>
        <item x="195"/>
        <item x="968"/>
        <item x="651"/>
        <item x="545"/>
        <item x="570"/>
        <item x="942"/>
        <item x="358"/>
        <item x="733"/>
        <item x="541"/>
        <item x="231"/>
        <item x="646"/>
        <item x="412"/>
        <item x="447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h="1" sd="0" x="0"/>
        <item h="1" sd="0" x="1"/>
        <item h="1" x="2"/>
        <item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 sd="0"/>
      </items>
    </pivotField>
    <pivotField dragToRow="0" dragToCol="0" dragToPage="0" showAll="0" defaultSubtota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Soma de Lucro" fld="12" baseField="0" baseItem="0"/>
  </dataFields>
  <chartFormats count="2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AB7DB-7A00-4589-BE07-B9779718EF07}" name="Tabela dinâmica1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8">
  <location ref="A3:D9" firstHeaderRow="0" firstDataRow="1" firstDataCol="1"/>
  <pivotFields count="21">
    <pivotField numFmtId="1" showAll="0"/>
    <pivotField numFmtId="14" showAll="0">
      <items count="181">
        <item x="49"/>
        <item x="148"/>
        <item x="20"/>
        <item x="29"/>
        <item x="161"/>
        <item x="53"/>
        <item x="52"/>
        <item x="75"/>
        <item x="121"/>
        <item x="142"/>
        <item x="115"/>
        <item x="73"/>
        <item x="35"/>
        <item x="147"/>
        <item x="3"/>
        <item x="140"/>
        <item x="149"/>
        <item x="50"/>
        <item x="108"/>
        <item x="179"/>
        <item x="77"/>
        <item x="69"/>
        <item x="173"/>
        <item x="43"/>
        <item x="136"/>
        <item x="36"/>
        <item x="83"/>
        <item x="28"/>
        <item x="133"/>
        <item x="167"/>
        <item x="159"/>
        <item x="23"/>
        <item x="109"/>
        <item x="18"/>
        <item x="16"/>
        <item x="170"/>
        <item x="110"/>
        <item x="132"/>
        <item x="129"/>
        <item x="151"/>
        <item x="123"/>
        <item x="175"/>
        <item x="128"/>
        <item x="174"/>
        <item x="101"/>
        <item x="1"/>
        <item x="30"/>
        <item x="146"/>
        <item x="82"/>
        <item x="155"/>
        <item x="165"/>
        <item x="164"/>
        <item x="91"/>
        <item x="124"/>
        <item x="74"/>
        <item x="106"/>
        <item x="102"/>
        <item x="86"/>
        <item x="97"/>
        <item x="55"/>
        <item x="85"/>
        <item x="117"/>
        <item x="41"/>
        <item x="95"/>
        <item x="44"/>
        <item x="12"/>
        <item x="60"/>
        <item x="114"/>
        <item x="156"/>
        <item x="63"/>
        <item x="5"/>
        <item x="13"/>
        <item x="138"/>
        <item x="89"/>
        <item x="99"/>
        <item x="177"/>
        <item x="68"/>
        <item x="59"/>
        <item x="64"/>
        <item x="137"/>
        <item x="22"/>
        <item x="42"/>
        <item x="116"/>
        <item x="33"/>
        <item x="11"/>
        <item x="158"/>
        <item x="54"/>
        <item x="80"/>
        <item x="81"/>
        <item x="119"/>
        <item x="57"/>
        <item x="134"/>
        <item x="118"/>
        <item x="93"/>
        <item x="65"/>
        <item x="7"/>
        <item x="8"/>
        <item x="120"/>
        <item x="9"/>
        <item x="100"/>
        <item x="37"/>
        <item x="61"/>
        <item x="14"/>
        <item x="58"/>
        <item x="21"/>
        <item x="32"/>
        <item x="111"/>
        <item x="135"/>
        <item x="17"/>
        <item x="172"/>
        <item x="38"/>
        <item x="4"/>
        <item x="145"/>
        <item x="25"/>
        <item x="92"/>
        <item x="171"/>
        <item x="130"/>
        <item x="87"/>
        <item x="96"/>
        <item x="105"/>
        <item x="84"/>
        <item x="166"/>
        <item x="79"/>
        <item x="98"/>
        <item x="139"/>
        <item x="62"/>
        <item x="71"/>
        <item x="178"/>
        <item x="153"/>
        <item x="31"/>
        <item x="48"/>
        <item x="56"/>
        <item x="51"/>
        <item x="103"/>
        <item x="67"/>
        <item x="26"/>
        <item x="104"/>
        <item x="40"/>
        <item x="90"/>
        <item x="144"/>
        <item x="152"/>
        <item x="162"/>
        <item x="34"/>
        <item x="125"/>
        <item x="163"/>
        <item x="154"/>
        <item x="72"/>
        <item x="39"/>
        <item x="47"/>
        <item x="10"/>
        <item x="141"/>
        <item x="6"/>
        <item x="176"/>
        <item x="76"/>
        <item x="127"/>
        <item x="168"/>
        <item x="126"/>
        <item x="94"/>
        <item x="24"/>
        <item x="0"/>
        <item x="27"/>
        <item x="78"/>
        <item x="157"/>
        <item x="160"/>
        <item x="150"/>
        <item x="88"/>
        <item x="131"/>
        <item x="45"/>
        <item x="2"/>
        <item x="169"/>
        <item x="107"/>
        <item x="70"/>
        <item x="122"/>
        <item x="46"/>
        <item x="113"/>
        <item x="143"/>
        <item x="112"/>
        <item x="15"/>
        <item x="66"/>
        <item x="19"/>
        <item t="default"/>
      </items>
    </pivotField>
    <pivotField showAll="0"/>
    <pivotField showAll="0">
      <items count="6">
        <item x="1"/>
        <item x="4"/>
        <item x="0"/>
        <item x="3"/>
        <item x="2"/>
        <item t="default"/>
      </items>
    </pivotField>
    <pivotField showAll="0"/>
    <pivotField numFmtId="1" showAll="0"/>
    <pivotField showAll="0"/>
    <pivotField showAll="0"/>
    <pivotField numFmtId="1" showAll="0"/>
    <pivotField numFmtId="44" showAll="0"/>
    <pivotField dataField="1" numFmtId="44" showAll="0"/>
    <pivotField dataField="1" numFmtId="44" showAll="0"/>
    <pivotField numFmtId="44"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numFmtId="9" showAll="0">
      <items count="1001">
        <item x="232"/>
        <item x="806"/>
        <item x="707"/>
        <item x="981"/>
        <item x="767"/>
        <item x="26"/>
        <item x="346"/>
        <item x="636"/>
        <item x="698"/>
        <item x="171"/>
        <item x="164"/>
        <item x="291"/>
        <item x="206"/>
        <item x="303"/>
        <item x="530"/>
        <item x="898"/>
        <item x="937"/>
        <item x="417"/>
        <item x="236"/>
        <item x="775"/>
        <item x="522"/>
        <item x="318"/>
        <item x="751"/>
        <item x="850"/>
        <item x="319"/>
        <item x="735"/>
        <item x="294"/>
        <item x="6"/>
        <item x="377"/>
        <item x="327"/>
        <item x="63"/>
        <item x="22"/>
        <item x="581"/>
        <item x="375"/>
        <item x="58"/>
        <item x="838"/>
        <item x="873"/>
        <item x="194"/>
        <item x="598"/>
        <item x="521"/>
        <item x="677"/>
        <item x="886"/>
        <item x="613"/>
        <item x="537"/>
        <item x="965"/>
        <item x="801"/>
        <item x="868"/>
        <item x="652"/>
        <item x="638"/>
        <item x="813"/>
        <item x="940"/>
        <item x="270"/>
        <item x="173"/>
        <item x="398"/>
        <item x="3"/>
        <item x="309"/>
        <item x="383"/>
        <item x="592"/>
        <item x="354"/>
        <item x="456"/>
        <item x="716"/>
        <item x="116"/>
        <item x="378"/>
        <item x="803"/>
        <item x="874"/>
        <item x="340"/>
        <item x="367"/>
        <item x="639"/>
        <item x="576"/>
        <item x="17"/>
        <item x="180"/>
        <item x="992"/>
        <item x="509"/>
        <item x="50"/>
        <item x="885"/>
        <item x="507"/>
        <item x="193"/>
        <item x="723"/>
        <item x="989"/>
        <item x="705"/>
        <item x="221"/>
        <item x="36"/>
        <item x="725"/>
        <item x="401"/>
        <item x="207"/>
        <item x="600"/>
        <item x="402"/>
        <item x="450"/>
        <item x="978"/>
        <item x="864"/>
        <item x="569"/>
        <item x="90"/>
        <item x="244"/>
        <item x="827"/>
        <item x="934"/>
        <item x="71"/>
        <item x="503"/>
        <item x="772"/>
        <item x="982"/>
        <item x="480"/>
        <item x="66"/>
        <item x="459"/>
        <item x="746"/>
        <item x="479"/>
        <item x="645"/>
        <item x="628"/>
        <item x="436"/>
        <item x="73"/>
        <item x="308"/>
        <item x="971"/>
        <item x="167"/>
        <item x="121"/>
        <item x="706"/>
        <item x="836"/>
        <item x="267"/>
        <item x="713"/>
        <item x="807"/>
        <item x="795"/>
        <item x="542"/>
        <item x="855"/>
        <item x="900"/>
        <item x="672"/>
        <item x="211"/>
        <item x="974"/>
        <item x="437"/>
        <item x="738"/>
        <item x="670"/>
        <item x="938"/>
        <item x="442"/>
        <item x="618"/>
        <item x="117"/>
        <item x="947"/>
        <item x="843"/>
        <item x="92"/>
        <item x="567"/>
        <item x="847"/>
        <item x="784"/>
        <item x="310"/>
        <item x="169"/>
        <item x="794"/>
        <item x="673"/>
        <item x="631"/>
        <item x="126"/>
        <item x="654"/>
        <item x="817"/>
        <item x="235"/>
        <item x="86"/>
        <item x="614"/>
        <item x="508"/>
        <item x="717"/>
        <item x="133"/>
        <item x="778"/>
        <item x="769"/>
        <item x="364"/>
        <item x="734"/>
        <item x="694"/>
        <item x="77"/>
        <item x="68"/>
        <item x="585"/>
        <item x="501"/>
        <item x="603"/>
        <item x="559"/>
        <item x="959"/>
        <item x="356"/>
        <item x="357"/>
        <item x="400"/>
        <item x="464"/>
        <item x="511"/>
        <item x="130"/>
        <item x="826"/>
        <item x="612"/>
        <item x="602"/>
        <item x="690"/>
        <item x="414"/>
        <item x="35"/>
        <item x="834"/>
        <item x="499"/>
        <item x="230"/>
        <item x="896"/>
        <item x="785"/>
        <item x="762"/>
        <item x="624"/>
        <item x="680"/>
        <item x="329"/>
        <item x="245"/>
        <item x="424"/>
        <item x="830"/>
        <item x="727"/>
        <item x="956"/>
        <item x="732"/>
        <item x="661"/>
        <item x="584"/>
        <item x="960"/>
        <item x="998"/>
        <item x="282"/>
        <item x="927"/>
        <item x="789"/>
        <item x="141"/>
        <item x="448"/>
        <item x="871"/>
        <item x="888"/>
        <item x="154"/>
        <item x="262"/>
        <item x="146"/>
        <item x="667"/>
        <item x="797"/>
        <item x="558"/>
        <item x="979"/>
        <item x="683"/>
        <item x="814"/>
        <item x="204"/>
        <item x="361"/>
        <item x="321"/>
        <item x="272"/>
        <item x="32"/>
        <item x="764"/>
        <item x="463"/>
        <item x="662"/>
        <item x="829"/>
        <item x="857"/>
        <item x="880"/>
        <item x="296"/>
        <item x="113"/>
        <item x="229"/>
        <item x="685"/>
        <item x="593"/>
        <item x="41"/>
        <item x="562"/>
        <item x="954"/>
        <item x="561"/>
        <item x="453"/>
        <item x="856"/>
        <item x="104"/>
        <item x="88"/>
        <item x="276"/>
        <item x="835"/>
        <item x="502"/>
        <item x="845"/>
        <item x="475"/>
        <item x="53"/>
        <item x="87"/>
        <item x="744"/>
        <item x="444"/>
        <item x="833"/>
        <item x="197"/>
        <item x="534"/>
        <item x="586"/>
        <item x="407"/>
        <item x="214"/>
        <item x="96"/>
        <item x="887"/>
        <item x="279"/>
        <item x="910"/>
        <item x="523"/>
        <item x="861"/>
        <item x="527"/>
        <item x="666"/>
        <item x="469"/>
        <item x="513"/>
        <item x="260"/>
        <item x="370"/>
        <item x="640"/>
        <item x="722"/>
        <item x="752"/>
        <item x="420"/>
        <item x="393"/>
        <item x="687"/>
        <item x="977"/>
        <item x="332"/>
        <item x="381"/>
        <item x="715"/>
        <item x="596"/>
        <item x="924"/>
        <item x="266"/>
        <item x="859"/>
        <item x="970"/>
        <item x="525"/>
        <item x="748"/>
        <item x="684"/>
        <item x="671"/>
        <item x="135"/>
        <item x="79"/>
        <item x="408"/>
        <item x="390"/>
        <item x="867"/>
        <item x="952"/>
        <item x="564"/>
        <item x="109"/>
        <item x="16"/>
        <item x="218"/>
        <item x="159"/>
        <item x="609"/>
        <item x="901"/>
        <item x="686"/>
        <item x="820"/>
        <item x="78"/>
        <item x="198"/>
        <item x="731"/>
        <item x="60"/>
        <item x="520"/>
        <item x="372"/>
        <item x="821"/>
        <item x="679"/>
        <item x="933"/>
        <item x="894"/>
        <item x="837"/>
        <item x="107"/>
        <item x="771"/>
        <item x="740"/>
        <item x="152"/>
        <item x="505"/>
        <item x="489"/>
        <item x="38"/>
        <item x="57"/>
        <item x="743"/>
        <item x="796"/>
        <item x="222"/>
        <item x="394"/>
        <item x="494"/>
        <item x="434"/>
        <item x="659"/>
        <item x="515"/>
        <item x="336"/>
        <item x="122"/>
        <item x="802"/>
        <item x="548"/>
        <item x="451"/>
        <item x="256"/>
        <item x="831"/>
        <item x="311"/>
        <item x="44"/>
        <item x="425"/>
        <item x="663"/>
        <item x="729"/>
        <item x="46"/>
        <item x="902"/>
        <item x="45"/>
        <item x="664"/>
        <item x="254"/>
        <item x="301"/>
        <item x="704"/>
        <item x="531"/>
        <item x="961"/>
        <item x="93"/>
        <item x="753"/>
        <item x="930"/>
        <item x="695"/>
        <item x="239"/>
        <item x="984"/>
        <item x="409"/>
        <item x="621"/>
        <item x="604"/>
        <item x="893"/>
        <item x="30"/>
        <item x="168"/>
        <item x="0"/>
        <item x="349"/>
        <item x="307"/>
        <item x="579"/>
        <item x="730"/>
        <item x="682"/>
        <item x="611"/>
        <item x="247"/>
        <item x="205"/>
        <item x="966"/>
        <item x="94"/>
        <item x="439"/>
        <item x="615"/>
        <item x="999"/>
        <item x="626"/>
        <item x="264"/>
        <item x="939"/>
        <item x="492"/>
        <item x="875"/>
        <item x="514"/>
        <item x="976"/>
        <item x="131"/>
        <item x="571"/>
        <item x="163"/>
        <item x="175"/>
        <item x="760"/>
        <item x="793"/>
        <item x="816"/>
        <item x="69"/>
        <item x="780"/>
        <item x="324"/>
        <item x="415"/>
        <item x="392"/>
        <item x="47"/>
        <item x="265"/>
        <item x="941"/>
        <item x="305"/>
        <item x="269"/>
        <item x="676"/>
        <item x="700"/>
        <item x="341"/>
        <item x="808"/>
        <item x="990"/>
        <item x="917"/>
        <item x="1"/>
        <item x="756"/>
        <item x="914"/>
        <item x="423"/>
        <item x="973"/>
        <item x="458"/>
        <item x="432"/>
        <item x="62"/>
        <item x="913"/>
        <item x="478"/>
        <item x="693"/>
        <item x="326"/>
        <item x="555"/>
        <item x="739"/>
        <item x="619"/>
        <item x="284"/>
        <item x="750"/>
        <item x="892"/>
        <item x="28"/>
        <item x="374"/>
        <item x="157"/>
        <item x="67"/>
        <item x="379"/>
        <item x="42"/>
        <item x="226"/>
        <item x="643"/>
        <item x="911"/>
        <item x="461"/>
        <item x="61"/>
        <item x="299"/>
        <item x="100"/>
        <item x="546"/>
        <item x="536"/>
        <item x="790"/>
        <item x="373"/>
        <item x="890"/>
        <item x="166"/>
        <item x="348"/>
        <item x="656"/>
        <item x="95"/>
        <item x="920"/>
        <item x="506"/>
        <item x="238"/>
        <item x="783"/>
        <item x="325"/>
        <item x="823"/>
        <item x="849"/>
        <item x="257"/>
        <item x="997"/>
        <item x="606"/>
        <item x="800"/>
        <item x="819"/>
        <item x="553"/>
        <item x="779"/>
        <item x="641"/>
        <item x="599"/>
        <item x="240"/>
        <item x="386"/>
        <item x="457"/>
        <item x="429"/>
        <item x="650"/>
        <item x="495"/>
        <item x="140"/>
        <item x="487"/>
        <item x="529"/>
        <item x="411"/>
        <item x="991"/>
        <item x="909"/>
        <item x="848"/>
        <item x="40"/>
        <item x="200"/>
        <item x="227"/>
        <item x="590"/>
        <item x="805"/>
        <item x="443"/>
        <item x="763"/>
        <item x="500"/>
        <item x="74"/>
        <item x="352"/>
        <item x="241"/>
        <item x="263"/>
        <item x="935"/>
        <item x="360"/>
        <item x="455"/>
        <item x="781"/>
        <item x="359"/>
        <item x="132"/>
        <item x="433"/>
        <item x="382"/>
        <item x="577"/>
        <item x="101"/>
        <item x="237"/>
        <item x="994"/>
        <item x="353"/>
        <item x="811"/>
        <item x="297"/>
        <item x="108"/>
        <item x="19"/>
        <item x="339"/>
        <item x="396"/>
        <item x="460"/>
        <item x="246"/>
        <item x="607"/>
        <item x="430"/>
        <item x="105"/>
        <item x="528"/>
        <item x="724"/>
        <item x="186"/>
        <item x="290"/>
        <item x="986"/>
        <item x="574"/>
        <item x="832"/>
        <item x="158"/>
        <item x="277"/>
        <item x="234"/>
        <item x="426"/>
        <item x="52"/>
        <item x="822"/>
        <item x="23"/>
        <item x="881"/>
        <item x="125"/>
        <item x="951"/>
        <item x="627"/>
        <item x="810"/>
        <item x="343"/>
        <item x="431"/>
        <item x="178"/>
        <item x="83"/>
        <item x="904"/>
        <item x="566"/>
        <item x="213"/>
        <item x="147"/>
        <item x="563"/>
        <item x="595"/>
        <item x="273"/>
        <item x="773"/>
        <item x="846"/>
        <item x="295"/>
        <item x="741"/>
        <item x="549"/>
        <item x="65"/>
        <item x="388"/>
        <item x="208"/>
        <item x="37"/>
        <item x="418"/>
        <item x="809"/>
        <item x="13"/>
        <item x="347"/>
        <item x="405"/>
        <item x="759"/>
        <item x="919"/>
        <item x="286"/>
        <item x="471"/>
        <item x="371"/>
        <item x="702"/>
        <item x="76"/>
        <item x="91"/>
        <item x="539"/>
        <item x="151"/>
        <item x="882"/>
        <item x="192"/>
        <item x="757"/>
        <item x="9"/>
        <item x="421"/>
        <item x="259"/>
        <item x="573"/>
        <item x="610"/>
        <item x="298"/>
        <item x="223"/>
        <item x="288"/>
        <item x="844"/>
        <item x="314"/>
        <item x="98"/>
        <item x="145"/>
        <item x="362"/>
        <item x="283"/>
        <item x="419"/>
        <item x="80"/>
        <item x="99"/>
        <item x="608"/>
        <item x="518"/>
        <item x="895"/>
        <item x="190"/>
        <item x="21"/>
        <item x="560"/>
        <item x="322"/>
        <item x="210"/>
        <item x="416"/>
        <item x="380"/>
        <item x="582"/>
        <item x="228"/>
        <item x="112"/>
        <item x="688"/>
        <item x="957"/>
        <item x="34"/>
        <item x="691"/>
        <item x="786"/>
        <item x="719"/>
        <item x="54"/>
        <item x="674"/>
        <item x="302"/>
        <item x="517"/>
        <item x="39"/>
        <item x="467"/>
        <item x="220"/>
        <item x="465"/>
        <item x="815"/>
        <item x="255"/>
        <item x="438"/>
        <item x="427"/>
        <item x="907"/>
        <item x="224"/>
        <item x="285"/>
        <item x="148"/>
        <item x="547"/>
        <item x="681"/>
        <item x="925"/>
        <item x="916"/>
        <item x="484"/>
        <item x="428"/>
        <item x="589"/>
        <item x="474"/>
        <item x="84"/>
        <item x="219"/>
        <item x="653"/>
        <item x="605"/>
        <item x="29"/>
        <item x="85"/>
        <item x="287"/>
        <item x="331"/>
        <item x="449"/>
        <item x="355"/>
        <item x="637"/>
        <item x="923"/>
        <item x="199"/>
        <item x="710"/>
        <item x="278"/>
        <item x="293"/>
        <item x="572"/>
        <item x="138"/>
        <item x="312"/>
        <item x="2"/>
        <item x="860"/>
        <item x="955"/>
        <item x="747"/>
        <item x="996"/>
        <item x="877"/>
        <item x="215"/>
        <item x="306"/>
        <item x="482"/>
        <item x="43"/>
        <item x="944"/>
        <item x="540"/>
        <item x="385"/>
        <item x="351"/>
        <item x="481"/>
        <item x="14"/>
        <item x="27"/>
        <item x="410"/>
        <item x="172"/>
        <item x="103"/>
        <item x="70"/>
        <item x="953"/>
        <item x="403"/>
        <item x="225"/>
        <item x="498"/>
        <item x="782"/>
        <item x="568"/>
        <item x="102"/>
        <item x="274"/>
        <item x="658"/>
        <item x="289"/>
        <item x="137"/>
        <item x="454"/>
        <item x="519"/>
        <item x="841"/>
        <item x="854"/>
        <item x="594"/>
        <item x="15"/>
        <item x="127"/>
        <item x="921"/>
        <item x="64"/>
        <item x="853"/>
        <item x="333"/>
        <item x="188"/>
        <item x="56"/>
        <item x="544"/>
        <item x="774"/>
        <item x="304"/>
        <item x="216"/>
        <item x="616"/>
        <item x="897"/>
        <item x="721"/>
        <item x="134"/>
        <item x="473"/>
        <item x="316"/>
        <item x="81"/>
        <item x="804"/>
        <item x="72"/>
        <item x="472"/>
        <item x="642"/>
        <item x="649"/>
        <item x="11"/>
        <item x="709"/>
        <item x="839"/>
        <item x="185"/>
        <item x="368"/>
        <item x="931"/>
        <item x="692"/>
        <item x="338"/>
        <item x="665"/>
        <item x="483"/>
        <item x="182"/>
        <item x="818"/>
        <item x="156"/>
        <item x="170"/>
        <item x="840"/>
        <item x="184"/>
        <item x="550"/>
        <item x="477"/>
        <item x="726"/>
        <item x="300"/>
        <item x="708"/>
        <item x="648"/>
        <item x="929"/>
        <item x="634"/>
        <item x="552"/>
        <item x="625"/>
        <item x="891"/>
        <item x="124"/>
        <item x="535"/>
        <item x="655"/>
        <item x="620"/>
        <item x="791"/>
        <item x="926"/>
        <item x="413"/>
        <item x="601"/>
        <item x="675"/>
        <item x="143"/>
        <item x="350"/>
        <item x="749"/>
        <item x="668"/>
        <item x="858"/>
        <item x="993"/>
        <item x="745"/>
        <item x="330"/>
        <item x="144"/>
        <item x="943"/>
        <item x="118"/>
        <item x="196"/>
        <item x="320"/>
        <item x="657"/>
        <item x="488"/>
        <item x="718"/>
        <item x="486"/>
        <item x="422"/>
        <item x="884"/>
        <item x="497"/>
        <item x="575"/>
        <item x="532"/>
        <item x="770"/>
        <item x="889"/>
        <item x="988"/>
        <item x="111"/>
        <item x="139"/>
        <item x="4"/>
        <item x="120"/>
        <item x="209"/>
        <item x="711"/>
        <item x="512"/>
        <item x="995"/>
        <item x="114"/>
        <item x="275"/>
        <item x="384"/>
        <item x="476"/>
        <item x="470"/>
        <item x="578"/>
        <item x="633"/>
        <item x="55"/>
        <item x="110"/>
        <item x="588"/>
        <item x="950"/>
        <item x="153"/>
        <item x="712"/>
        <item x="866"/>
        <item x="323"/>
        <item x="526"/>
        <item x="538"/>
        <item x="962"/>
        <item x="452"/>
        <item x="975"/>
        <item x="366"/>
        <item x="758"/>
        <item x="369"/>
        <item x="928"/>
        <item x="872"/>
        <item x="161"/>
        <item x="865"/>
        <item x="20"/>
        <item x="97"/>
        <item x="404"/>
        <item x="75"/>
        <item x="395"/>
        <item x="788"/>
        <item x="798"/>
        <item x="587"/>
        <item x="491"/>
        <item x="948"/>
        <item x="317"/>
        <item x="768"/>
        <item x="617"/>
        <item x="363"/>
        <item x="242"/>
        <item x="59"/>
        <item x="123"/>
        <item x="622"/>
        <item x="5"/>
        <item x="337"/>
        <item x="689"/>
        <item x="669"/>
        <item x="949"/>
        <item x="24"/>
        <item x="969"/>
        <item x="714"/>
        <item x="776"/>
        <item x="243"/>
        <item x="876"/>
        <item x="755"/>
        <item x="565"/>
        <item x="202"/>
        <item x="765"/>
        <item x="720"/>
        <item x="766"/>
        <item x="233"/>
        <item x="115"/>
        <item x="699"/>
        <item x="597"/>
        <item x="462"/>
        <item x="376"/>
        <item x="660"/>
        <item x="554"/>
        <item x="946"/>
        <item x="441"/>
        <item x="869"/>
        <item x="972"/>
        <item x="179"/>
        <item x="251"/>
        <item x="580"/>
        <item x="912"/>
        <item x="493"/>
        <item x="82"/>
        <item x="33"/>
        <item x="932"/>
        <item x="440"/>
        <item x="824"/>
        <item x="787"/>
        <item x="936"/>
        <item x="12"/>
        <item x="504"/>
        <item x="728"/>
        <item x="446"/>
        <item x="899"/>
        <item x="201"/>
        <item x="435"/>
        <item x="129"/>
        <item x="7"/>
        <item x="922"/>
        <item x="387"/>
        <item x="48"/>
        <item x="825"/>
        <item x="165"/>
        <item x="292"/>
        <item x="31"/>
        <item x="905"/>
        <item x="365"/>
        <item x="958"/>
        <item x="271"/>
        <item x="345"/>
        <item x="342"/>
        <item x="883"/>
        <item x="985"/>
        <item x="183"/>
        <item x="315"/>
        <item x="632"/>
        <item x="524"/>
        <item x="736"/>
        <item x="155"/>
        <item x="181"/>
        <item x="391"/>
        <item x="496"/>
        <item x="629"/>
        <item x="635"/>
        <item x="703"/>
        <item x="701"/>
        <item x="623"/>
        <item x="162"/>
        <item x="261"/>
        <item x="551"/>
        <item x="49"/>
        <item x="812"/>
        <item x="761"/>
        <item x="485"/>
        <item x="799"/>
        <item x="468"/>
        <item x="583"/>
        <item x="516"/>
        <item x="89"/>
        <item x="149"/>
        <item x="697"/>
        <item x="737"/>
        <item x="878"/>
        <item x="987"/>
        <item x="177"/>
        <item x="490"/>
        <item x="644"/>
        <item x="253"/>
        <item x="908"/>
        <item x="212"/>
        <item x="557"/>
        <item x="777"/>
        <item x="945"/>
        <item x="543"/>
        <item x="248"/>
        <item x="591"/>
        <item x="903"/>
        <item x="647"/>
        <item x="191"/>
        <item x="510"/>
        <item x="399"/>
        <item x="249"/>
        <item x="862"/>
        <item x="51"/>
        <item x="119"/>
        <item x="630"/>
        <item x="967"/>
        <item x="174"/>
        <item x="187"/>
        <item x="217"/>
        <item x="556"/>
        <item x="678"/>
        <item x="106"/>
        <item x="258"/>
        <item x="160"/>
        <item x="334"/>
        <item x="533"/>
        <item x="252"/>
        <item x="851"/>
        <item x="963"/>
        <item x="696"/>
        <item x="879"/>
        <item x="335"/>
        <item x="189"/>
        <item x="863"/>
        <item x="8"/>
        <item x="250"/>
        <item x="915"/>
        <item x="466"/>
        <item x="918"/>
        <item x="983"/>
        <item x="128"/>
        <item x="852"/>
        <item x="980"/>
        <item x="742"/>
        <item x="136"/>
        <item x="268"/>
        <item x="150"/>
        <item x="281"/>
        <item x="344"/>
        <item x="445"/>
        <item x="313"/>
        <item x="25"/>
        <item x="176"/>
        <item x="18"/>
        <item x="906"/>
        <item x="870"/>
        <item x="828"/>
        <item x="842"/>
        <item x="406"/>
        <item x="397"/>
        <item x="389"/>
        <item x="142"/>
        <item x="10"/>
        <item x="328"/>
        <item x="964"/>
        <item x="792"/>
        <item x="203"/>
        <item x="754"/>
        <item x="280"/>
        <item x="195"/>
        <item x="968"/>
        <item x="651"/>
        <item x="545"/>
        <item x="570"/>
        <item x="942"/>
        <item x="358"/>
        <item x="733"/>
        <item x="541"/>
        <item x="231"/>
        <item x="646"/>
        <item x="412"/>
        <item x="447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dragToRow="0" dragToCol="0" dragToPage="0" showAll="0" defaultSubtotal="0"/>
  </pivotFields>
  <rowFields count="1">
    <field x="19"/>
  </rowFields>
  <rowItems count="6"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Custo" fld="11" baseField="0" baseItem="0"/>
    <dataField name="Soma de Receita" fld="10" baseField="0" baseItem="0"/>
    <dataField name="Soma de Margem Total" fld="20" baseField="0" baseItem="0" numFmtId="165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1"/>
          </reference>
          <reference field="19" count="1" selected="0">
            <x v="5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2"/>
          </reference>
          <reference field="19" count="1" selected="0">
            <x v="4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2"/>
          </reference>
          <reference field="1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6B730-8FEB-45DE-8A7F-B7873D821E28}" name="Tabela dinâmica7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44">
  <location ref="A24:D29" firstHeaderRow="0" firstDataRow="1" firstDataCol="1"/>
  <pivotFields count="21">
    <pivotField numFmtId="1" showAll="0"/>
    <pivotField numFmtId="14" showAll="0">
      <items count="181">
        <item x="49"/>
        <item x="148"/>
        <item x="20"/>
        <item x="29"/>
        <item x="161"/>
        <item x="53"/>
        <item x="52"/>
        <item x="75"/>
        <item x="121"/>
        <item x="142"/>
        <item x="115"/>
        <item x="73"/>
        <item x="35"/>
        <item x="147"/>
        <item x="3"/>
        <item x="140"/>
        <item x="149"/>
        <item x="50"/>
        <item x="108"/>
        <item x="179"/>
        <item x="77"/>
        <item x="69"/>
        <item x="173"/>
        <item x="43"/>
        <item x="136"/>
        <item x="36"/>
        <item x="83"/>
        <item x="28"/>
        <item x="133"/>
        <item x="167"/>
        <item x="159"/>
        <item x="23"/>
        <item x="109"/>
        <item x="18"/>
        <item x="16"/>
        <item x="170"/>
        <item x="110"/>
        <item x="132"/>
        <item x="129"/>
        <item x="151"/>
        <item x="123"/>
        <item x="175"/>
        <item x="128"/>
        <item x="174"/>
        <item x="101"/>
        <item x="1"/>
        <item x="30"/>
        <item x="146"/>
        <item x="82"/>
        <item x="155"/>
        <item x="165"/>
        <item x="164"/>
        <item x="91"/>
        <item x="124"/>
        <item x="74"/>
        <item x="106"/>
        <item x="102"/>
        <item x="86"/>
        <item x="97"/>
        <item x="55"/>
        <item x="85"/>
        <item x="117"/>
        <item x="41"/>
        <item x="95"/>
        <item x="44"/>
        <item x="12"/>
        <item x="60"/>
        <item x="114"/>
        <item x="156"/>
        <item x="63"/>
        <item x="5"/>
        <item x="13"/>
        <item x="138"/>
        <item x="89"/>
        <item x="99"/>
        <item x="177"/>
        <item x="68"/>
        <item x="59"/>
        <item x="64"/>
        <item x="137"/>
        <item x="22"/>
        <item x="42"/>
        <item x="116"/>
        <item x="33"/>
        <item x="11"/>
        <item x="158"/>
        <item x="54"/>
        <item x="80"/>
        <item x="81"/>
        <item x="119"/>
        <item x="57"/>
        <item x="134"/>
        <item x="118"/>
        <item x="93"/>
        <item x="65"/>
        <item x="7"/>
        <item x="8"/>
        <item x="120"/>
        <item x="9"/>
        <item x="100"/>
        <item x="37"/>
        <item x="61"/>
        <item x="14"/>
        <item x="58"/>
        <item x="21"/>
        <item x="32"/>
        <item x="111"/>
        <item x="135"/>
        <item x="17"/>
        <item x="172"/>
        <item x="38"/>
        <item x="4"/>
        <item x="145"/>
        <item x="25"/>
        <item x="92"/>
        <item x="171"/>
        <item x="130"/>
        <item x="87"/>
        <item x="96"/>
        <item x="105"/>
        <item x="84"/>
        <item x="166"/>
        <item x="79"/>
        <item x="98"/>
        <item x="139"/>
        <item x="62"/>
        <item x="71"/>
        <item x="178"/>
        <item x="153"/>
        <item x="31"/>
        <item x="48"/>
        <item x="56"/>
        <item x="51"/>
        <item x="103"/>
        <item x="67"/>
        <item x="26"/>
        <item x="104"/>
        <item x="40"/>
        <item x="90"/>
        <item x="144"/>
        <item x="152"/>
        <item x="162"/>
        <item x="34"/>
        <item x="125"/>
        <item x="163"/>
        <item x="154"/>
        <item x="72"/>
        <item x="39"/>
        <item x="47"/>
        <item x="10"/>
        <item x="141"/>
        <item x="6"/>
        <item x="176"/>
        <item x="76"/>
        <item x="127"/>
        <item x="168"/>
        <item x="126"/>
        <item x="94"/>
        <item x="24"/>
        <item x="0"/>
        <item x="27"/>
        <item x="78"/>
        <item x="157"/>
        <item x="160"/>
        <item x="150"/>
        <item x="88"/>
        <item x="131"/>
        <item x="45"/>
        <item x="2"/>
        <item x="169"/>
        <item x="107"/>
        <item x="70"/>
        <item x="122"/>
        <item x="46"/>
        <item x="113"/>
        <item x="143"/>
        <item x="112"/>
        <item x="15"/>
        <item x="66"/>
        <item x="19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axis="axisRow" showAll="0">
      <items count="6">
        <item x="1"/>
        <item x="4"/>
        <item x="0"/>
        <item x="3"/>
        <item x="2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numFmtId="1" showAll="0"/>
    <pivotField showAll="0">
      <items count="4">
        <item x="1"/>
        <item x="0"/>
        <item x="2"/>
        <item t="default"/>
      </items>
    </pivotField>
    <pivotField showAll="0">
      <items count="6">
        <item h="1" x="4"/>
        <item x="2"/>
        <item h="1" x="1"/>
        <item h="1" x="0"/>
        <item h="1" x="3"/>
        <item t="default"/>
      </items>
    </pivotField>
    <pivotField numFmtId="1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44" showAll="0"/>
    <pivotField dataField="1" numFmtId="44" showAll="0"/>
    <pivotField dataField="1" numFmtId="44" showAll="0"/>
    <pivotField dataField="1" numFmtId="44" showAll="0"/>
    <pivotField showAll="0">
      <items count="4">
        <item x="0"/>
        <item h="1" x="1"/>
        <item h="1"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6">
        <item x="4"/>
        <item x="3"/>
        <item x="1"/>
        <item x="2"/>
        <item x="0"/>
        <item t="default"/>
      </items>
    </pivotField>
    <pivotField numFmtId="9" showAll="0">
      <items count="1001">
        <item x="232"/>
        <item x="806"/>
        <item x="707"/>
        <item x="981"/>
        <item x="767"/>
        <item x="26"/>
        <item x="346"/>
        <item x="636"/>
        <item x="698"/>
        <item x="171"/>
        <item x="164"/>
        <item x="291"/>
        <item x="206"/>
        <item x="303"/>
        <item x="530"/>
        <item x="898"/>
        <item x="937"/>
        <item x="417"/>
        <item x="236"/>
        <item x="775"/>
        <item x="522"/>
        <item x="318"/>
        <item x="751"/>
        <item x="850"/>
        <item x="319"/>
        <item x="735"/>
        <item x="294"/>
        <item x="6"/>
        <item x="377"/>
        <item x="327"/>
        <item x="63"/>
        <item x="22"/>
        <item x="581"/>
        <item x="375"/>
        <item x="58"/>
        <item x="838"/>
        <item x="873"/>
        <item x="194"/>
        <item x="598"/>
        <item x="521"/>
        <item x="677"/>
        <item x="886"/>
        <item x="613"/>
        <item x="537"/>
        <item x="965"/>
        <item x="801"/>
        <item x="868"/>
        <item x="652"/>
        <item x="638"/>
        <item x="813"/>
        <item x="940"/>
        <item x="270"/>
        <item x="173"/>
        <item x="398"/>
        <item x="3"/>
        <item x="309"/>
        <item x="383"/>
        <item x="592"/>
        <item x="354"/>
        <item x="456"/>
        <item x="716"/>
        <item x="116"/>
        <item x="378"/>
        <item x="803"/>
        <item x="874"/>
        <item x="340"/>
        <item x="367"/>
        <item x="639"/>
        <item x="576"/>
        <item x="17"/>
        <item x="180"/>
        <item x="992"/>
        <item x="509"/>
        <item x="50"/>
        <item x="885"/>
        <item x="507"/>
        <item x="193"/>
        <item x="723"/>
        <item x="989"/>
        <item x="705"/>
        <item x="221"/>
        <item x="36"/>
        <item x="725"/>
        <item x="401"/>
        <item x="207"/>
        <item x="600"/>
        <item x="402"/>
        <item x="450"/>
        <item x="978"/>
        <item x="864"/>
        <item x="569"/>
        <item x="90"/>
        <item x="244"/>
        <item x="827"/>
        <item x="934"/>
        <item x="71"/>
        <item x="503"/>
        <item x="772"/>
        <item x="982"/>
        <item x="480"/>
        <item x="66"/>
        <item x="459"/>
        <item x="746"/>
        <item x="479"/>
        <item x="645"/>
        <item x="628"/>
        <item x="436"/>
        <item x="73"/>
        <item x="308"/>
        <item x="971"/>
        <item x="167"/>
        <item x="121"/>
        <item x="706"/>
        <item x="836"/>
        <item x="267"/>
        <item x="713"/>
        <item x="807"/>
        <item x="795"/>
        <item x="542"/>
        <item x="855"/>
        <item x="900"/>
        <item x="672"/>
        <item x="211"/>
        <item x="974"/>
        <item x="437"/>
        <item x="738"/>
        <item x="670"/>
        <item x="938"/>
        <item x="442"/>
        <item x="618"/>
        <item x="117"/>
        <item x="947"/>
        <item x="843"/>
        <item x="92"/>
        <item x="567"/>
        <item x="847"/>
        <item x="784"/>
        <item x="310"/>
        <item x="169"/>
        <item x="794"/>
        <item x="673"/>
        <item x="631"/>
        <item x="126"/>
        <item x="654"/>
        <item x="817"/>
        <item x="235"/>
        <item x="86"/>
        <item x="614"/>
        <item x="508"/>
        <item x="717"/>
        <item x="133"/>
        <item x="778"/>
        <item x="769"/>
        <item x="364"/>
        <item x="734"/>
        <item x="694"/>
        <item x="77"/>
        <item x="68"/>
        <item x="585"/>
        <item x="501"/>
        <item x="603"/>
        <item x="559"/>
        <item x="959"/>
        <item x="356"/>
        <item x="357"/>
        <item x="400"/>
        <item x="464"/>
        <item x="511"/>
        <item x="130"/>
        <item x="826"/>
        <item x="612"/>
        <item x="602"/>
        <item x="690"/>
        <item x="414"/>
        <item x="35"/>
        <item x="834"/>
        <item x="499"/>
        <item x="230"/>
        <item x="896"/>
        <item x="785"/>
        <item x="762"/>
        <item x="624"/>
        <item x="680"/>
        <item x="329"/>
        <item x="245"/>
        <item x="424"/>
        <item x="830"/>
        <item x="727"/>
        <item x="956"/>
        <item x="732"/>
        <item x="661"/>
        <item x="584"/>
        <item x="960"/>
        <item x="998"/>
        <item x="282"/>
        <item x="927"/>
        <item x="789"/>
        <item x="141"/>
        <item x="448"/>
        <item x="871"/>
        <item x="888"/>
        <item x="154"/>
        <item x="262"/>
        <item x="146"/>
        <item x="667"/>
        <item x="797"/>
        <item x="558"/>
        <item x="979"/>
        <item x="683"/>
        <item x="814"/>
        <item x="204"/>
        <item x="361"/>
        <item x="321"/>
        <item x="272"/>
        <item x="32"/>
        <item x="764"/>
        <item x="463"/>
        <item x="662"/>
        <item x="829"/>
        <item x="857"/>
        <item x="880"/>
        <item x="296"/>
        <item x="113"/>
        <item x="229"/>
        <item x="685"/>
        <item x="593"/>
        <item x="41"/>
        <item x="562"/>
        <item x="954"/>
        <item x="561"/>
        <item x="453"/>
        <item x="856"/>
        <item x="104"/>
        <item x="88"/>
        <item x="276"/>
        <item x="835"/>
        <item x="502"/>
        <item x="845"/>
        <item x="475"/>
        <item x="53"/>
        <item x="87"/>
        <item x="744"/>
        <item x="444"/>
        <item x="833"/>
        <item x="197"/>
        <item x="534"/>
        <item x="586"/>
        <item x="407"/>
        <item x="214"/>
        <item x="96"/>
        <item x="887"/>
        <item x="279"/>
        <item x="910"/>
        <item x="523"/>
        <item x="861"/>
        <item x="527"/>
        <item x="666"/>
        <item x="469"/>
        <item x="513"/>
        <item x="260"/>
        <item x="370"/>
        <item x="640"/>
        <item x="722"/>
        <item x="752"/>
        <item x="420"/>
        <item x="393"/>
        <item x="687"/>
        <item x="977"/>
        <item x="332"/>
        <item x="381"/>
        <item x="715"/>
        <item x="596"/>
        <item x="924"/>
        <item x="266"/>
        <item x="859"/>
        <item x="970"/>
        <item x="525"/>
        <item x="748"/>
        <item x="684"/>
        <item x="671"/>
        <item x="135"/>
        <item x="79"/>
        <item x="408"/>
        <item x="390"/>
        <item x="867"/>
        <item x="952"/>
        <item x="564"/>
        <item x="109"/>
        <item x="16"/>
        <item x="218"/>
        <item x="159"/>
        <item x="609"/>
        <item x="901"/>
        <item x="686"/>
        <item x="820"/>
        <item x="78"/>
        <item x="198"/>
        <item x="731"/>
        <item x="60"/>
        <item x="520"/>
        <item x="372"/>
        <item x="821"/>
        <item x="679"/>
        <item x="933"/>
        <item x="894"/>
        <item x="837"/>
        <item x="107"/>
        <item x="771"/>
        <item x="740"/>
        <item x="152"/>
        <item x="505"/>
        <item x="489"/>
        <item x="38"/>
        <item x="57"/>
        <item x="743"/>
        <item x="796"/>
        <item x="222"/>
        <item x="394"/>
        <item x="494"/>
        <item x="434"/>
        <item x="659"/>
        <item x="515"/>
        <item x="336"/>
        <item x="122"/>
        <item x="802"/>
        <item x="548"/>
        <item x="451"/>
        <item x="256"/>
        <item x="831"/>
        <item x="311"/>
        <item x="44"/>
        <item x="425"/>
        <item x="663"/>
        <item x="729"/>
        <item x="46"/>
        <item x="902"/>
        <item x="45"/>
        <item x="664"/>
        <item x="254"/>
        <item x="301"/>
        <item x="704"/>
        <item x="531"/>
        <item x="961"/>
        <item x="93"/>
        <item x="753"/>
        <item x="930"/>
        <item x="695"/>
        <item x="239"/>
        <item x="984"/>
        <item x="409"/>
        <item x="621"/>
        <item x="604"/>
        <item x="893"/>
        <item x="30"/>
        <item x="168"/>
        <item x="0"/>
        <item x="349"/>
        <item x="307"/>
        <item x="579"/>
        <item x="730"/>
        <item x="682"/>
        <item x="611"/>
        <item x="247"/>
        <item x="205"/>
        <item x="966"/>
        <item x="94"/>
        <item x="439"/>
        <item x="615"/>
        <item x="999"/>
        <item x="626"/>
        <item x="264"/>
        <item x="939"/>
        <item x="492"/>
        <item x="875"/>
        <item x="514"/>
        <item x="976"/>
        <item x="131"/>
        <item x="571"/>
        <item x="163"/>
        <item x="175"/>
        <item x="760"/>
        <item x="793"/>
        <item x="816"/>
        <item x="69"/>
        <item x="780"/>
        <item x="324"/>
        <item x="415"/>
        <item x="392"/>
        <item x="47"/>
        <item x="265"/>
        <item x="941"/>
        <item x="305"/>
        <item x="269"/>
        <item x="676"/>
        <item x="700"/>
        <item x="341"/>
        <item x="808"/>
        <item x="990"/>
        <item x="917"/>
        <item x="1"/>
        <item x="756"/>
        <item x="914"/>
        <item x="423"/>
        <item x="973"/>
        <item x="458"/>
        <item x="432"/>
        <item x="62"/>
        <item x="913"/>
        <item x="478"/>
        <item x="693"/>
        <item x="326"/>
        <item x="555"/>
        <item x="739"/>
        <item x="619"/>
        <item x="284"/>
        <item x="750"/>
        <item x="892"/>
        <item x="28"/>
        <item x="374"/>
        <item x="157"/>
        <item x="67"/>
        <item x="379"/>
        <item x="42"/>
        <item x="226"/>
        <item x="643"/>
        <item x="911"/>
        <item x="461"/>
        <item x="61"/>
        <item x="299"/>
        <item x="100"/>
        <item x="546"/>
        <item x="536"/>
        <item x="790"/>
        <item x="373"/>
        <item x="890"/>
        <item x="166"/>
        <item x="348"/>
        <item x="656"/>
        <item x="95"/>
        <item x="920"/>
        <item x="506"/>
        <item x="238"/>
        <item x="783"/>
        <item x="325"/>
        <item x="823"/>
        <item x="849"/>
        <item x="257"/>
        <item x="997"/>
        <item x="606"/>
        <item x="800"/>
        <item x="819"/>
        <item x="553"/>
        <item x="779"/>
        <item x="641"/>
        <item x="599"/>
        <item x="240"/>
        <item x="386"/>
        <item x="457"/>
        <item x="429"/>
        <item x="650"/>
        <item x="495"/>
        <item x="140"/>
        <item x="487"/>
        <item x="529"/>
        <item x="411"/>
        <item x="991"/>
        <item x="909"/>
        <item x="848"/>
        <item x="40"/>
        <item x="200"/>
        <item x="227"/>
        <item x="590"/>
        <item x="805"/>
        <item x="443"/>
        <item x="763"/>
        <item x="500"/>
        <item x="74"/>
        <item x="352"/>
        <item x="241"/>
        <item x="263"/>
        <item x="935"/>
        <item x="360"/>
        <item x="455"/>
        <item x="781"/>
        <item x="359"/>
        <item x="132"/>
        <item x="433"/>
        <item x="382"/>
        <item x="577"/>
        <item x="101"/>
        <item x="237"/>
        <item x="994"/>
        <item x="353"/>
        <item x="811"/>
        <item x="297"/>
        <item x="108"/>
        <item x="19"/>
        <item x="339"/>
        <item x="396"/>
        <item x="460"/>
        <item x="246"/>
        <item x="607"/>
        <item x="430"/>
        <item x="105"/>
        <item x="528"/>
        <item x="724"/>
        <item x="186"/>
        <item x="290"/>
        <item x="986"/>
        <item x="574"/>
        <item x="832"/>
        <item x="158"/>
        <item x="277"/>
        <item x="234"/>
        <item x="426"/>
        <item x="52"/>
        <item x="822"/>
        <item x="23"/>
        <item x="881"/>
        <item x="125"/>
        <item x="951"/>
        <item x="627"/>
        <item x="810"/>
        <item x="343"/>
        <item x="431"/>
        <item x="178"/>
        <item x="83"/>
        <item x="904"/>
        <item x="566"/>
        <item x="213"/>
        <item x="147"/>
        <item x="563"/>
        <item x="595"/>
        <item x="273"/>
        <item x="773"/>
        <item x="846"/>
        <item x="295"/>
        <item x="741"/>
        <item x="549"/>
        <item x="65"/>
        <item x="388"/>
        <item x="208"/>
        <item x="37"/>
        <item x="418"/>
        <item x="809"/>
        <item x="13"/>
        <item x="347"/>
        <item x="405"/>
        <item x="759"/>
        <item x="919"/>
        <item x="286"/>
        <item x="471"/>
        <item x="371"/>
        <item x="702"/>
        <item x="76"/>
        <item x="91"/>
        <item x="539"/>
        <item x="151"/>
        <item x="882"/>
        <item x="192"/>
        <item x="757"/>
        <item x="9"/>
        <item x="421"/>
        <item x="259"/>
        <item x="573"/>
        <item x="610"/>
        <item x="298"/>
        <item x="223"/>
        <item x="288"/>
        <item x="844"/>
        <item x="314"/>
        <item x="98"/>
        <item x="145"/>
        <item x="362"/>
        <item x="283"/>
        <item x="419"/>
        <item x="80"/>
        <item x="99"/>
        <item x="608"/>
        <item x="518"/>
        <item x="895"/>
        <item x="190"/>
        <item x="21"/>
        <item x="560"/>
        <item x="322"/>
        <item x="210"/>
        <item x="416"/>
        <item x="380"/>
        <item x="582"/>
        <item x="228"/>
        <item x="112"/>
        <item x="688"/>
        <item x="957"/>
        <item x="34"/>
        <item x="691"/>
        <item x="786"/>
        <item x="719"/>
        <item x="54"/>
        <item x="674"/>
        <item x="302"/>
        <item x="517"/>
        <item x="39"/>
        <item x="467"/>
        <item x="220"/>
        <item x="465"/>
        <item x="815"/>
        <item x="255"/>
        <item x="438"/>
        <item x="427"/>
        <item x="907"/>
        <item x="224"/>
        <item x="285"/>
        <item x="148"/>
        <item x="547"/>
        <item x="681"/>
        <item x="925"/>
        <item x="916"/>
        <item x="484"/>
        <item x="428"/>
        <item x="589"/>
        <item x="474"/>
        <item x="84"/>
        <item x="219"/>
        <item x="653"/>
        <item x="605"/>
        <item x="29"/>
        <item x="85"/>
        <item x="287"/>
        <item x="331"/>
        <item x="449"/>
        <item x="355"/>
        <item x="637"/>
        <item x="923"/>
        <item x="199"/>
        <item x="710"/>
        <item x="278"/>
        <item x="293"/>
        <item x="572"/>
        <item x="138"/>
        <item x="312"/>
        <item x="2"/>
        <item x="860"/>
        <item x="955"/>
        <item x="747"/>
        <item x="996"/>
        <item x="877"/>
        <item x="215"/>
        <item x="306"/>
        <item x="482"/>
        <item x="43"/>
        <item x="944"/>
        <item x="540"/>
        <item x="385"/>
        <item x="351"/>
        <item x="481"/>
        <item x="14"/>
        <item x="27"/>
        <item x="410"/>
        <item x="172"/>
        <item x="103"/>
        <item x="70"/>
        <item x="953"/>
        <item x="403"/>
        <item x="225"/>
        <item x="498"/>
        <item x="782"/>
        <item x="568"/>
        <item x="102"/>
        <item x="274"/>
        <item x="658"/>
        <item x="289"/>
        <item x="137"/>
        <item x="454"/>
        <item x="519"/>
        <item x="841"/>
        <item x="854"/>
        <item x="594"/>
        <item x="15"/>
        <item x="127"/>
        <item x="921"/>
        <item x="64"/>
        <item x="853"/>
        <item x="333"/>
        <item x="188"/>
        <item x="56"/>
        <item x="544"/>
        <item x="774"/>
        <item x="304"/>
        <item x="216"/>
        <item x="616"/>
        <item x="897"/>
        <item x="721"/>
        <item x="134"/>
        <item x="473"/>
        <item x="316"/>
        <item x="81"/>
        <item x="804"/>
        <item x="72"/>
        <item x="472"/>
        <item x="642"/>
        <item x="649"/>
        <item x="11"/>
        <item x="709"/>
        <item x="839"/>
        <item x="185"/>
        <item x="368"/>
        <item x="931"/>
        <item x="692"/>
        <item x="338"/>
        <item x="665"/>
        <item x="483"/>
        <item x="182"/>
        <item x="818"/>
        <item x="156"/>
        <item x="170"/>
        <item x="840"/>
        <item x="184"/>
        <item x="550"/>
        <item x="477"/>
        <item x="726"/>
        <item x="300"/>
        <item x="708"/>
        <item x="648"/>
        <item x="929"/>
        <item x="634"/>
        <item x="552"/>
        <item x="625"/>
        <item x="891"/>
        <item x="124"/>
        <item x="535"/>
        <item x="655"/>
        <item x="620"/>
        <item x="791"/>
        <item x="926"/>
        <item x="413"/>
        <item x="601"/>
        <item x="675"/>
        <item x="143"/>
        <item x="350"/>
        <item x="749"/>
        <item x="668"/>
        <item x="858"/>
        <item x="993"/>
        <item x="745"/>
        <item x="330"/>
        <item x="144"/>
        <item x="943"/>
        <item x="118"/>
        <item x="196"/>
        <item x="320"/>
        <item x="657"/>
        <item x="488"/>
        <item x="718"/>
        <item x="486"/>
        <item x="422"/>
        <item x="884"/>
        <item x="497"/>
        <item x="575"/>
        <item x="532"/>
        <item x="770"/>
        <item x="889"/>
        <item x="988"/>
        <item x="111"/>
        <item x="139"/>
        <item x="4"/>
        <item x="120"/>
        <item x="209"/>
        <item x="711"/>
        <item x="512"/>
        <item x="995"/>
        <item x="114"/>
        <item x="275"/>
        <item x="384"/>
        <item x="476"/>
        <item x="470"/>
        <item x="578"/>
        <item x="633"/>
        <item x="55"/>
        <item x="110"/>
        <item x="588"/>
        <item x="950"/>
        <item x="153"/>
        <item x="712"/>
        <item x="866"/>
        <item x="323"/>
        <item x="526"/>
        <item x="538"/>
        <item x="962"/>
        <item x="452"/>
        <item x="975"/>
        <item x="366"/>
        <item x="758"/>
        <item x="369"/>
        <item x="928"/>
        <item x="872"/>
        <item x="161"/>
        <item x="865"/>
        <item x="20"/>
        <item x="97"/>
        <item x="404"/>
        <item x="75"/>
        <item x="395"/>
        <item x="788"/>
        <item x="798"/>
        <item x="587"/>
        <item x="491"/>
        <item x="948"/>
        <item x="317"/>
        <item x="768"/>
        <item x="617"/>
        <item x="363"/>
        <item x="242"/>
        <item x="59"/>
        <item x="123"/>
        <item x="622"/>
        <item x="5"/>
        <item x="337"/>
        <item x="689"/>
        <item x="669"/>
        <item x="949"/>
        <item x="24"/>
        <item x="969"/>
        <item x="714"/>
        <item x="776"/>
        <item x="243"/>
        <item x="876"/>
        <item x="755"/>
        <item x="565"/>
        <item x="202"/>
        <item x="765"/>
        <item x="720"/>
        <item x="766"/>
        <item x="233"/>
        <item x="115"/>
        <item x="699"/>
        <item x="597"/>
        <item x="462"/>
        <item x="376"/>
        <item x="660"/>
        <item x="554"/>
        <item x="946"/>
        <item x="441"/>
        <item x="869"/>
        <item x="972"/>
        <item x="179"/>
        <item x="251"/>
        <item x="580"/>
        <item x="912"/>
        <item x="493"/>
        <item x="82"/>
        <item x="33"/>
        <item x="932"/>
        <item x="440"/>
        <item x="824"/>
        <item x="787"/>
        <item x="936"/>
        <item x="12"/>
        <item x="504"/>
        <item x="728"/>
        <item x="446"/>
        <item x="899"/>
        <item x="201"/>
        <item x="435"/>
        <item x="129"/>
        <item x="7"/>
        <item x="922"/>
        <item x="387"/>
        <item x="48"/>
        <item x="825"/>
        <item x="165"/>
        <item x="292"/>
        <item x="31"/>
        <item x="905"/>
        <item x="365"/>
        <item x="958"/>
        <item x="271"/>
        <item x="345"/>
        <item x="342"/>
        <item x="883"/>
        <item x="985"/>
        <item x="183"/>
        <item x="315"/>
        <item x="632"/>
        <item x="524"/>
        <item x="736"/>
        <item x="155"/>
        <item x="181"/>
        <item x="391"/>
        <item x="496"/>
        <item x="629"/>
        <item x="635"/>
        <item x="703"/>
        <item x="701"/>
        <item x="623"/>
        <item x="162"/>
        <item x="261"/>
        <item x="551"/>
        <item x="49"/>
        <item x="812"/>
        <item x="761"/>
        <item x="485"/>
        <item x="799"/>
        <item x="468"/>
        <item x="583"/>
        <item x="516"/>
        <item x="89"/>
        <item x="149"/>
        <item x="697"/>
        <item x="737"/>
        <item x="878"/>
        <item x="987"/>
        <item x="177"/>
        <item x="490"/>
        <item x="644"/>
        <item x="253"/>
        <item x="908"/>
        <item x="212"/>
        <item x="557"/>
        <item x="777"/>
        <item x="945"/>
        <item x="543"/>
        <item x="248"/>
        <item x="591"/>
        <item x="903"/>
        <item x="647"/>
        <item x="191"/>
        <item x="510"/>
        <item x="399"/>
        <item x="249"/>
        <item x="862"/>
        <item x="51"/>
        <item x="119"/>
        <item x="630"/>
        <item x="967"/>
        <item x="174"/>
        <item x="187"/>
        <item x="217"/>
        <item x="556"/>
        <item x="678"/>
        <item x="106"/>
        <item x="258"/>
        <item x="160"/>
        <item x="334"/>
        <item x="533"/>
        <item x="252"/>
        <item x="851"/>
        <item x="963"/>
        <item x="696"/>
        <item x="879"/>
        <item x="335"/>
        <item x="189"/>
        <item x="863"/>
        <item x="8"/>
        <item x="250"/>
        <item x="915"/>
        <item x="466"/>
        <item x="918"/>
        <item x="983"/>
        <item x="128"/>
        <item x="852"/>
        <item x="980"/>
        <item x="742"/>
        <item x="136"/>
        <item x="268"/>
        <item x="150"/>
        <item x="281"/>
        <item x="344"/>
        <item x="445"/>
        <item x="313"/>
        <item x="25"/>
        <item x="176"/>
        <item x="18"/>
        <item x="906"/>
        <item x="870"/>
        <item x="828"/>
        <item x="842"/>
        <item x="406"/>
        <item x="397"/>
        <item x="389"/>
        <item x="142"/>
        <item x="10"/>
        <item x="328"/>
        <item x="964"/>
        <item x="792"/>
        <item x="203"/>
        <item x="754"/>
        <item x="280"/>
        <item x="195"/>
        <item x="968"/>
        <item x="651"/>
        <item x="545"/>
        <item x="570"/>
        <item x="942"/>
        <item x="358"/>
        <item x="733"/>
        <item x="541"/>
        <item x="231"/>
        <item x="646"/>
        <item x="412"/>
        <item x="447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h="1" sd="0" x="0"/>
        <item sd="0" x="1"/>
        <item h="1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 sd="0"/>
      </items>
    </pivotField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Lucro" fld="12" baseField="0" baseItem="0" numFmtId="44"/>
    <dataField name="Soma de Receita" fld="10" baseField="0" baseItem="0"/>
    <dataField name="Soma de Custo" fld="11" baseField="0" baseItem="0"/>
  </dataFields>
  <formats count="1">
    <format dxfId="4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Pagamento" xr10:uid="{9B9D7A21-665A-4FA3-B5E3-E048C5C87FF9}" sourceName="Status_Pagamento">
  <pivotTables>
    <pivotTable tabId="7" name="Tabela dinâmica1"/>
    <pivotTable tabId="7" name="Tabela dinâmica7"/>
    <pivotTable tabId="7" name="Tabela dinâmica5"/>
    <pivotTable tabId="7" name="Tabela dinâmica6"/>
  </pivotTables>
  <data>
    <tabular pivotCacheId="1593463534">
      <items count="3">
        <i x="0" s="1"/>
        <i x="1"/>
        <i x="2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Data_Transacao" xr10:uid="{7EC6E612-F22D-42B4-937E-54BE9FBE4333}" sourceName="Meses (Data_Transacao)">
  <pivotTables>
    <pivotTable tabId="7" name="Tabela dinâmica4"/>
    <pivotTable tabId="7" name="Tabela dinâmica5"/>
    <pivotTable tabId="7" name="Tabela dinâmica6"/>
    <pivotTable tabId="7" name="Tabela dinâmica7"/>
  </pivotTables>
  <data>
    <tabular pivotCacheId="1593463534">
      <items count="14">
        <i x="1" s="1"/>
        <i x="2"/>
        <i x="3"/>
        <i x="4"/>
        <i x="5"/>
        <i x="6"/>
        <i x="7" nd="1"/>
        <i x="8" nd="1"/>
        <i x="9" nd="1"/>
        <i x="10" nd="1"/>
        <i x="11" nd="1"/>
        <i x="12" nd="1"/>
        <i x="0" nd="1"/>
        <i x="1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ao" xr10:uid="{DD19BAEA-5EE8-4A06-B6D8-06D264F245E3}" sourceName="Regiao">
  <pivotTables>
    <pivotTable tabId="7" name="Tabela dinâmica5"/>
    <pivotTable tabId="7" name="Tabela dinâmica7"/>
    <pivotTable tabId="7" name="Tabela dinâmica6"/>
  </pivotTables>
  <data>
    <tabular pivotCacheId="1593463534">
      <items count="5">
        <i x="4"/>
        <i x="2" s="1"/>
        <i x="1"/>
        <i x="0"/>
        <i x="3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_Pagamento" xr10:uid="{5551CECC-6F8C-45E6-9E93-AA101FDD92C0}" cache="SegmentaçãodeDados_Status_Pagamento" caption="Status_Pagamento" columnCount="3" showCaption="0" style="Estilo de Segmentação de Dados 1" rowHeight="360000"/>
  <slicer name="Meses (Data_Transacao)" xr10:uid="{3FCAB3A9-6D0E-42E6-B53D-3B088D08E0AF}" cache="SegmentaçãodeDados_Meses__Data_Transacao" caption="Meses (Data_Transacao)" columnCount="3" showCaption="0" style="Estilo de Segmentação de Dados 1" rowHeight="360000"/>
  <slicer name="Meses (Data_Transacao) 1" xr10:uid="{8989F201-F0B6-4E47-B13B-E2C875EDF7F0}" cache="SegmentaçãodeDados_Meses__Data_Transacao" caption="Meses (Data_Transacao)" columnCount="3" showCaption="0" style="Estilo de Segmentação de Dados 1" rowHeight="360000"/>
  <slicer name="Meses (Data_Transacao) 2" xr10:uid="{4CAB5386-347B-42B7-B019-0223AA06C78F}" cache="SegmentaçãodeDados_Meses__Data_Transacao" caption="Meses (Data_Transacao)" columnCount="3" showCaption="0" style="Estilo de Segmentação de Dados 1" rowHeight="360000"/>
  <slicer name="Regiao" xr10:uid="{F5D8132B-375E-49B7-98CE-84008C671E83}" cache="SegmentaçãodeDados_Regiao" caption="Regiao" columnCount="2" showCaption="0" style="Estilo de Segmentação de Dados 1" rowHeight="468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2C19D2-F2D5-41F8-9F2F-1057D77A30E8}" name="Tabela7" displayName="Tabela7" ref="A1:R1001" totalsRowShown="0" headerRowDxfId="41" headerRowCellStyle="Porcentagem">
  <autoFilter ref="A1:R1001" xr:uid="{A22C19D2-F2D5-41F8-9F2F-1057D77A30E8}"/>
  <sortState xmlns:xlrd2="http://schemas.microsoft.com/office/spreadsheetml/2017/richdata2" ref="A2:R1001">
    <sortCondition descending="1" ref="K2:K1001"/>
  </sortState>
  <tableColumns count="18">
    <tableColumn id="1" xr3:uid="{2355F7CC-3B51-4D75-B6BC-9FFD359F0A3C}" name="ID_Transacao" dataDxfId="40"/>
    <tableColumn id="2" xr3:uid="{2A1F1F67-FA52-403F-A96E-FBEDE269DE50}" name="Data_Transacao" dataDxfId="39"/>
    <tableColumn id="3" xr3:uid="{E1792E5B-B8D8-4C3B-9A76-F7824A283E62}" name="Departamento" dataDxfId="38"/>
    <tableColumn id="4" xr3:uid="{8B15F38A-E383-4ABE-A624-10EB828D561A}" name="Produto" dataDxfId="37"/>
    <tableColumn id="5" xr3:uid="{7080609B-52FB-4BC3-8867-4C014D8DA087}" name="Categoria" dataDxfId="36"/>
    <tableColumn id="6" xr3:uid="{2BD9ECBF-D5B6-4463-A88D-13F5D3E6AE53}" name="Cliente_ID" dataDxfId="35"/>
    <tableColumn id="7" xr3:uid="{4F1172EC-48EE-4590-9EBE-65E595AC0B0A}" name="Segmento_Cliente" dataDxfId="34"/>
    <tableColumn id="8" xr3:uid="{821D9F2E-E4F5-40EB-B142-6BB6A988DBC2}" name="Regiao" dataDxfId="33"/>
    <tableColumn id="9" xr3:uid="{CDF503A8-8594-44FB-B334-C07B73F5126D}" name="Quantidade" dataDxfId="32"/>
    <tableColumn id="10" xr3:uid="{995FED7E-B80A-4DCA-A690-FFE29D1ABC84}" name="Preco_Unitario" dataCellStyle="Moeda"/>
    <tableColumn id="11" xr3:uid="{DFA275FA-7512-4A99-B1FA-90F56D788D3E}" name="Receita" dataCellStyle="Moeda"/>
    <tableColumn id="12" xr3:uid="{21A56C72-7954-416F-A336-A7E905D02296}" name="Custo" dataCellStyle="Moeda"/>
    <tableColumn id="13" xr3:uid="{F4F37D4E-6227-47F8-82F8-1AA84F654337}" name="Lucro" dataCellStyle="Moeda"/>
    <tableColumn id="14" xr3:uid="{3E68C5F2-71B2-4F02-A2EF-3413B62D3EFB}" name="Status_Pagamento" dataDxfId="31"/>
    <tableColumn id="15" xr3:uid="{284E522E-E51C-46C8-A220-4F9CA8A8D416}" name="Canal_Venda" dataDxfId="30"/>
    <tableColumn id="16" xr3:uid="{C87BB842-B0FD-4B47-8E53-29B8E3C234A9}" name="Responsavel" dataDxfId="29"/>
    <tableColumn id="17" xr3:uid="{489CD519-72A4-40B1-9AC3-14E0D3F1B815}" name="Margem" dataDxfId="28" dataCellStyle="Porcentagem">
      <calculatedColumnFormula>M2/K2</calculatedColumnFormula>
    </tableColumn>
    <tableColumn id="18" xr3:uid="{B6829FB6-0B95-4837-BD43-FE112FF18DEA}" name="Classificação" dataDxfId="27">
      <calculatedColumnFormula array="1">_xlfn.IFS(Q2&gt;40%,"Alta",Q2&gt;20%,"Média",Q2&lt;20%,"Baixa")</calculatedColumnFormula>
    </tableColumn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4CD98A2-FB0E-4FEE-ACF4-086C8C6069DD}" name="Tabela8" displayName="Tabela8" ref="T1:AF6" totalsRowShown="0" headerRowDxfId="26">
  <autoFilter ref="T1:AF6" xr:uid="{A4CD98A2-FB0E-4FEE-ACF4-086C8C6069DD}"/>
  <tableColumns count="13">
    <tableColumn id="1" xr3:uid="{7E561355-ACCA-46DD-897D-524BE91E57CA}" name="Receita Total" dataCellStyle="Moeda"/>
    <tableColumn id="2" xr3:uid="{EAD0DAEA-66DD-4CB5-B915-0CAE29D3DAA1}" name="Lucro Total" dataCellStyle="Moeda"/>
    <tableColumn id="3" xr3:uid="{82F55BA6-877B-4B59-9E89-B9BA45C650A0}" name="Ticket Médio" dataCellStyle="Moeda"/>
    <tableColumn id="4" xr3:uid="{B9AAA8B3-E7E8-4444-8C12-2E4C8244880A}" name="Departamentos" dataDxfId="25"/>
    <tableColumn id="5" xr3:uid="{D930531B-699E-4BAE-A5BB-7B980B0B3C31}" name="Receita por Departamento" dataCellStyle="Moeda"/>
    <tableColumn id="6" xr3:uid="{221A0992-620C-4225-A8DA-C654FE5F107A}" name="Regiões" dataDxfId="24">
      <calculatedColumnFormula>AG8</calculatedColumnFormula>
    </tableColumn>
    <tableColumn id="7" xr3:uid="{8D7B97E7-93BB-404B-81BE-E7945DEDB61D}" name="Receita por Região" dataCellStyle="Moeda">
      <calculatedColumnFormula>SUMIF($H:$H,Y2,$K:$K)</calculatedColumnFormula>
    </tableColumn>
    <tableColumn id="8" xr3:uid="{6842544D-597F-48C4-BDA2-3619F0C649BA}" name="Receita de Vendas Pagas" dataCellStyle="Moeda"/>
    <tableColumn id="9" xr3:uid="{2D07B156-F51B-4FB4-B27D-38A46AEDA3E8}" name="Transações Atrasadas" dataDxfId="23"/>
    <tableColumn id="10" xr3:uid="{7B1A2877-D0BC-4110-9D34-EEFB9559F3D1}" name="Responsáveis" dataDxfId="22">
      <calculatedColumnFormula>_xlfn.XLOOKUP(AD2,$K:$K,$P:$P)</calculatedColumnFormula>
    </tableColumn>
    <tableColumn id="11" xr3:uid="{E0554FEC-ABAA-45D5-8202-E6551F003D51}" name="Suas Receitas" dataCellStyle="Moeda"/>
    <tableColumn id="12" xr3:uid="{FC90BAC1-B023-47AF-8C11-C7BEBC154975}" name="Canal de Venda + Lucrativo" dataDxfId="21"/>
    <tableColumn id="13" xr3:uid="{3747BDA2-AC76-4DBC-9E03-8E250DA04EAF}" name="Seu Lucro" dataCellStyle="Moeda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6041-708F-4CEE-A4E0-835768874691}">
  <dimension ref="E5:AO22"/>
  <sheetViews>
    <sheetView tabSelected="1" topLeftCell="D1" zoomScale="40" zoomScaleNormal="40" workbookViewId="0">
      <selection activeCell="V96" sqref="V96"/>
    </sheetView>
  </sheetViews>
  <sheetFormatPr defaultRowHeight="15" x14ac:dyDescent="0.25"/>
  <cols>
    <col min="1" max="49" width="9.140625" style="23"/>
    <col min="50" max="50" width="9.140625" style="23" customWidth="1"/>
    <col min="51" max="16384" width="9.140625" style="23"/>
  </cols>
  <sheetData>
    <row r="5" spans="5:5" x14ac:dyDescent="0.25">
      <c r="E5" s="22"/>
    </row>
    <row r="22" spans="41:41" x14ac:dyDescent="0.25">
      <c r="AO22" s="24"/>
    </row>
  </sheetData>
  <pageMargins left="0.511811024" right="0.511811024" top="0.78740157499999996" bottom="0.78740157499999996" header="0.31496062000000002" footer="0.31496062000000002"/>
  <pageSetup paperSize="124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4411-01AD-4814-9F1B-AE2C526BA7AE}">
  <dimension ref="A3:N78"/>
  <sheetViews>
    <sheetView zoomScaleNormal="100" workbookViewId="0">
      <selection activeCell="E24" sqref="E24"/>
    </sheetView>
  </sheetViews>
  <sheetFormatPr defaultRowHeight="15" x14ac:dyDescent="0.25"/>
  <cols>
    <col min="1" max="1" width="18" bestFit="1" customWidth="1"/>
    <col min="2" max="2" width="13.85546875" bestFit="1" customWidth="1"/>
    <col min="3" max="3" width="15.7109375" bestFit="1" customWidth="1"/>
    <col min="4" max="5" width="21.7109375" bestFit="1" customWidth="1"/>
    <col min="6" max="6" width="18" bestFit="1" customWidth="1"/>
    <col min="7" max="7" width="21.7109375" bestFit="1" customWidth="1"/>
    <col min="8" max="8" width="13.85546875" bestFit="1" customWidth="1"/>
    <col min="14" max="14" width="50.140625" bestFit="1" customWidth="1"/>
  </cols>
  <sheetData>
    <row r="3" spans="1:14" x14ac:dyDescent="0.25">
      <c r="A3" s="14" t="s">
        <v>66</v>
      </c>
      <c r="B3" t="s">
        <v>67</v>
      </c>
      <c r="C3" t="s">
        <v>74</v>
      </c>
      <c r="D3" t="s">
        <v>75</v>
      </c>
    </row>
    <row r="4" spans="1:14" x14ac:dyDescent="0.25">
      <c r="A4" s="15" t="s">
        <v>68</v>
      </c>
      <c r="B4" s="16">
        <v>693495.29</v>
      </c>
      <c r="C4" s="16">
        <v>1207079</v>
      </c>
      <c r="D4" s="19">
        <v>0.42547646840016273</v>
      </c>
    </row>
    <row r="5" spans="1:14" x14ac:dyDescent="0.25">
      <c r="A5" s="15" t="s">
        <v>69</v>
      </c>
      <c r="B5" s="16">
        <v>830578.16000000015</v>
      </c>
      <c r="C5" s="16">
        <v>1417781</v>
      </c>
      <c r="D5" s="19">
        <v>0.41417034083543225</v>
      </c>
    </row>
    <row r="6" spans="1:14" x14ac:dyDescent="0.25">
      <c r="A6" s="15" t="s">
        <v>70</v>
      </c>
      <c r="B6" s="16">
        <v>1082762.75</v>
      </c>
      <c r="C6" s="16">
        <v>1817314</v>
      </c>
      <c r="D6" s="19">
        <v>0.40419611030344776</v>
      </c>
      <c r="N6" t="s">
        <v>76</v>
      </c>
    </row>
    <row r="7" spans="1:14" x14ac:dyDescent="0.25">
      <c r="A7" s="15" t="s">
        <v>71</v>
      </c>
      <c r="B7" s="16">
        <v>986721.5</v>
      </c>
      <c r="C7" s="16">
        <v>1736217</v>
      </c>
      <c r="D7" s="19">
        <v>0.43168307878565876</v>
      </c>
      <c r="N7" t="s">
        <v>77</v>
      </c>
    </row>
    <row r="8" spans="1:14" x14ac:dyDescent="0.25">
      <c r="A8" s="15" t="s">
        <v>72</v>
      </c>
      <c r="B8" s="16">
        <v>944495.18999999983</v>
      </c>
      <c r="C8" s="16">
        <v>1615014</v>
      </c>
      <c r="D8" s="19">
        <v>0.41517832662750909</v>
      </c>
    </row>
    <row r="9" spans="1:14" x14ac:dyDescent="0.25">
      <c r="A9" s="15" t="s">
        <v>73</v>
      </c>
      <c r="B9" s="16">
        <v>1108040.74</v>
      </c>
      <c r="C9" s="16">
        <v>1872693</v>
      </c>
      <c r="D9" s="19">
        <v>0.40831693181957729</v>
      </c>
      <c r="N9" t="s">
        <v>78</v>
      </c>
    </row>
    <row r="10" spans="1:14" x14ac:dyDescent="0.25">
      <c r="N10" t="s">
        <v>79</v>
      </c>
    </row>
    <row r="14" spans="1:14" x14ac:dyDescent="0.25">
      <c r="A14" s="14" t="s">
        <v>66</v>
      </c>
      <c r="B14" t="s">
        <v>80</v>
      </c>
    </row>
    <row r="15" spans="1:14" x14ac:dyDescent="0.25">
      <c r="A15" s="15" t="s">
        <v>37</v>
      </c>
      <c r="B15" s="16">
        <v>3027330.6699999995</v>
      </c>
    </row>
    <row r="16" spans="1:14" x14ac:dyDescent="0.25">
      <c r="A16" s="15" t="s">
        <v>25</v>
      </c>
      <c r="B16" s="16">
        <v>2877259.5699999994</v>
      </c>
    </row>
    <row r="17" spans="1:4" x14ac:dyDescent="0.25">
      <c r="A17" s="15" t="s">
        <v>41</v>
      </c>
      <c r="B17" s="16">
        <v>2436223.7500000023</v>
      </c>
    </row>
    <row r="18" spans="1:4" x14ac:dyDescent="0.25">
      <c r="A18" s="15" t="s">
        <v>18</v>
      </c>
      <c r="B18" s="16">
        <v>2898562.5100000007</v>
      </c>
    </row>
    <row r="24" spans="1:4" x14ac:dyDescent="0.25">
      <c r="A24" s="14" t="s">
        <v>66</v>
      </c>
      <c r="B24" t="s">
        <v>80</v>
      </c>
      <c r="C24" t="s">
        <v>74</v>
      </c>
      <c r="D24" t="s">
        <v>67</v>
      </c>
    </row>
    <row r="25" spans="1:4" x14ac:dyDescent="0.25">
      <c r="A25" s="15" t="s">
        <v>45</v>
      </c>
      <c r="B25" s="21">
        <v>12539.12</v>
      </c>
      <c r="C25" s="16">
        <v>30159</v>
      </c>
      <c r="D25" s="16">
        <v>17619.88</v>
      </c>
    </row>
    <row r="26" spans="1:4" x14ac:dyDescent="0.25">
      <c r="A26" s="15" t="s">
        <v>42</v>
      </c>
      <c r="B26" s="21">
        <v>1666.34</v>
      </c>
      <c r="C26" s="16">
        <v>4117</v>
      </c>
      <c r="D26" s="16">
        <v>2450.66</v>
      </c>
    </row>
    <row r="27" spans="1:4" x14ac:dyDescent="0.25">
      <c r="A27" s="15" t="s">
        <v>17</v>
      </c>
      <c r="B27" s="21">
        <v>77144.28</v>
      </c>
      <c r="C27" s="16">
        <v>160574</v>
      </c>
      <c r="D27" s="16">
        <v>83429.72</v>
      </c>
    </row>
    <row r="28" spans="1:4" x14ac:dyDescent="0.25">
      <c r="A28" s="15" t="s">
        <v>30</v>
      </c>
      <c r="B28" s="21">
        <v>26036.89</v>
      </c>
      <c r="C28" s="16">
        <v>70614</v>
      </c>
      <c r="D28" s="16">
        <v>44577.11</v>
      </c>
    </row>
    <row r="29" spans="1:4" x14ac:dyDescent="0.25">
      <c r="A29" s="15" t="s">
        <v>35</v>
      </c>
      <c r="B29" s="21">
        <v>1982.49</v>
      </c>
      <c r="C29" s="16">
        <v>7900</v>
      </c>
      <c r="D29" s="16">
        <v>5917.51</v>
      </c>
    </row>
    <row r="33" spans="1:8" x14ac:dyDescent="0.25">
      <c r="F33" s="14" t="s">
        <v>66</v>
      </c>
      <c r="G33" t="s">
        <v>75</v>
      </c>
      <c r="H33" t="s">
        <v>80</v>
      </c>
    </row>
    <row r="34" spans="1:8" x14ac:dyDescent="0.25">
      <c r="A34" t="s">
        <v>88</v>
      </c>
      <c r="F34" s="15" t="s">
        <v>68</v>
      </c>
      <c r="G34" s="19">
        <v>0.40473095207209775</v>
      </c>
      <c r="H34" s="16">
        <v>1734752.9500000004</v>
      </c>
    </row>
    <row r="35" spans="1:8" x14ac:dyDescent="0.25">
      <c r="A35" s="10">
        <f>H36-H35</f>
        <v>505031.47999999952</v>
      </c>
      <c r="B35" t="s">
        <v>89</v>
      </c>
      <c r="F35" s="15" t="s">
        <v>69</v>
      </c>
      <c r="G35" s="19">
        <v>0.39814582582600561</v>
      </c>
      <c r="H35" s="16">
        <v>1597658.0700000008</v>
      </c>
    </row>
    <row r="36" spans="1:8" x14ac:dyDescent="0.25">
      <c r="F36" s="15" t="s">
        <v>70</v>
      </c>
      <c r="G36" s="19">
        <v>0.40896979050575427</v>
      </c>
      <c r="H36" s="16">
        <v>2102689.5500000003</v>
      </c>
    </row>
    <row r="37" spans="1:8" x14ac:dyDescent="0.25">
      <c r="F37" s="15" t="s">
        <v>71</v>
      </c>
      <c r="G37" s="19">
        <v>0.41719411902848819</v>
      </c>
      <c r="H37" s="16">
        <v>2057165.01</v>
      </c>
    </row>
    <row r="38" spans="1:8" x14ac:dyDescent="0.25">
      <c r="F38" s="15" t="s">
        <v>72</v>
      </c>
      <c r="G38" s="19">
        <v>0.41162763440947281</v>
      </c>
      <c r="H38" s="16">
        <v>1728637.6600000004</v>
      </c>
    </row>
    <row r="39" spans="1:8" x14ac:dyDescent="0.25">
      <c r="F39" s="15" t="s">
        <v>73</v>
      </c>
      <c r="G39" s="19">
        <v>0.39970978526676165</v>
      </c>
      <c r="H39" s="16">
        <v>2018473.2600000005</v>
      </c>
    </row>
    <row r="43" spans="1:8" x14ac:dyDescent="0.25">
      <c r="G43" t="s">
        <v>81</v>
      </c>
    </row>
    <row r="44" spans="1:8" x14ac:dyDescent="0.25">
      <c r="G44" t="s">
        <v>82</v>
      </c>
    </row>
    <row r="51" spans="1:7" x14ac:dyDescent="0.25">
      <c r="A51" s="14" t="s">
        <v>66</v>
      </c>
      <c r="B51" t="s">
        <v>80</v>
      </c>
      <c r="E51" t="s">
        <v>83</v>
      </c>
    </row>
    <row r="52" spans="1:7" x14ac:dyDescent="0.25">
      <c r="A52" s="15" t="s">
        <v>34</v>
      </c>
      <c r="B52" s="16">
        <v>498680.48999999993</v>
      </c>
    </row>
    <row r="53" spans="1:7" x14ac:dyDescent="0.25">
      <c r="A53" s="15" t="s">
        <v>24</v>
      </c>
      <c r="B53" s="16">
        <v>405428.87</v>
      </c>
    </row>
    <row r="54" spans="1:7" x14ac:dyDescent="0.25">
      <c r="A54" s="15" t="s">
        <v>16</v>
      </c>
      <c r="B54" s="16">
        <v>380650.92000000004</v>
      </c>
      <c r="F54" t="s">
        <v>84</v>
      </c>
    </row>
    <row r="55" spans="1:7" x14ac:dyDescent="0.25">
      <c r="A55" s="15" t="s">
        <v>47</v>
      </c>
      <c r="B55" s="16">
        <v>449992.67000000004</v>
      </c>
      <c r="F55" t="s">
        <v>85</v>
      </c>
    </row>
    <row r="63" spans="1:7" x14ac:dyDescent="0.25">
      <c r="F63" s="14" t="s">
        <v>66</v>
      </c>
      <c r="G63" t="s">
        <v>80</v>
      </c>
    </row>
    <row r="64" spans="1:7" x14ac:dyDescent="0.25">
      <c r="F64" s="15" t="s">
        <v>36</v>
      </c>
      <c r="G64" s="16">
        <v>78709.23000000001</v>
      </c>
    </row>
    <row r="65" spans="1:7" x14ac:dyDescent="0.25">
      <c r="F65" s="15" t="s">
        <v>26</v>
      </c>
      <c r="G65" s="16">
        <v>27417.47</v>
      </c>
    </row>
    <row r="66" spans="1:7" x14ac:dyDescent="0.25">
      <c r="F66" s="15" t="s">
        <v>19</v>
      </c>
      <c r="G66" s="16">
        <v>13242.42</v>
      </c>
    </row>
    <row r="77" spans="1:7" x14ac:dyDescent="0.25">
      <c r="A77" t="s">
        <v>67</v>
      </c>
      <c r="B77" t="s">
        <v>80</v>
      </c>
      <c r="C77" t="s">
        <v>74</v>
      </c>
      <c r="D77" t="s">
        <v>86</v>
      </c>
      <c r="E77" t="s">
        <v>87</v>
      </c>
    </row>
    <row r="78" spans="1:7" x14ac:dyDescent="0.25">
      <c r="A78" s="16">
        <v>153994.88</v>
      </c>
      <c r="B78" s="21">
        <v>119369.12</v>
      </c>
      <c r="C78" s="16">
        <v>273364</v>
      </c>
      <c r="D78" s="20">
        <v>0.43666730074186799</v>
      </c>
      <c r="E78" s="16">
        <v>82</v>
      </c>
    </row>
  </sheetData>
  <pageMargins left="0.511811024" right="0.511811024" top="0.78740157499999996" bottom="0.78740157499999996" header="0.31496062000000002" footer="0.31496062000000002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1"/>
  <sheetViews>
    <sheetView zoomScale="85" zoomScaleNormal="85" workbookViewId="0">
      <selection activeCell="Q3" sqref="Q3"/>
    </sheetView>
  </sheetViews>
  <sheetFormatPr defaultRowHeight="15" x14ac:dyDescent="0.25"/>
  <cols>
    <col min="1" max="1" width="15.140625" style="5" bestFit="1" customWidth="1"/>
    <col min="2" max="2" width="17.42578125" style="18" bestFit="1" customWidth="1"/>
    <col min="3" max="3" width="16.28515625" style="8" bestFit="1" customWidth="1"/>
    <col min="4" max="4" width="15.140625" style="8" bestFit="1" customWidth="1"/>
    <col min="5" max="5" width="11.7109375" style="8" bestFit="1" customWidth="1"/>
    <col min="6" max="6" width="12.5703125" style="5" bestFit="1" customWidth="1"/>
    <col min="7" max="7" width="20" style="8" bestFit="1" customWidth="1"/>
    <col min="8" max="8" width="13.140625" style="8" bestFit="1" customWidth="1"/>
    <col min="9" max="9" width="13.7109375" style="5" bestFit="1" customWidth="1"/>
    <col min="10" max="10" width="18.140625" style="10" bestFit="1" customWidth="1"/>
    <col min="11" max="13" width="13.42578125" style="10" bestFit="1" customWidth="1"/>
    <col min="14" max="14" width="20" style="8" bestFit="1" customWidth="1"/>
    <col min="15" max="15" width="14.85546875" style="8" bestFit="1" customWidth="1"/>
    <col min="16" max="16" width="14.42578125" style="8" bestFit="1" customWidth="1"/>
    <col min="17" max="17" width="10.85546875" style="3" bestFit="1" customWidth="1"/>
    <col min="18" max="18" width="14.42578125" style="8" bestFit="1" customWidth="1"/>
    <col min="19" max="19" width="14.42578125" style="8" customWidth="1"/>
    <col min="20" max="21" width="17" style="10" bestFit="1" customWidth="1"/>
    <col min="22" max="22" width="16.42578125" style="8" bestFit="1" customWidth="1"/>
    <col min="23" max="23" width="17.140625" style="10" bestFit="1" customWidth="1"/>
    <col min="24" max="24" width="28.5703125" style="8" bestFit="1" customWidth="1"/>
    <col min="25" max="25" width="13.140625" style="10" bestFit="1" customWidth="1"/>
    <col min="26" max="26" width="21.42578125" style="10" bestFit="1" customWidth="1"/>
    <col min="27" max="27" width="26.85546875" style="5" bestFit="1" customWidth="1"/>
    <col min="28" max="28" width="22.28515625" style="8" bestFit="1" customWidth="1"/>
    <col min="29" max="29" width="15.42578125" style="10" bestFit="1" customWidth="1"/>
    <col min="30" max="30" width="16.7109375" style="8" bestFit="1" customWidth="1"/>
    <col min="31" max="31" width="27.28515625" style="10" bestFit="1" customWidth="1"/>
    <col min="32" max="32" width="13.42578125" bestFit="1" customWidth="1"/>
    <col min="33" max="33" width="17" style="8" bestFit="1" customWidth="1"/>
  </cols>
  <sheetData>
    <row r="1" spans="1:33" x14ac:dyDescent="0.25">
      <c r="A1" s="4" t="s">
        <v>0</v>
      </c>
      <c r="B1" s="17" t="s">
        <v>1</v>
      </c>
      <c r="C1" s="7" t="s">
        <v>2</v>
      </c>
      <c r="D1" s="7" t="s">
        <v>3</v>
      </c>
      <c r="E1" s="7" t="s">
        <v>4</v>
      </c>
      <c r="F1" s="4" t="s">
        <v>5</v>
      </c>
      <c r="G1" s="7" t="s">
        <v>6</v>
      </c>
      <c r="H1" s="7" t="s">
        <v>7</v>
      </c>
      <c r="I1" s="4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7" t="s">
        <v>13</v>
      </c>
      <c r="O1" s="7" t="s">
        <v>14</v>
      </c>
      <c r="P1" s="7" t="s">
        <v>15</v>
      </c>
      <c r="Q1" s="2" t="s">
        <v>50</v>
      </c>
      <c r="R1" s="7" t="s">
        <v>51</v>
      </c>
      <c r="S1" s="7"/>
      <c r="T1" s="9" t="s">
        <v>52</v>
      </c>
      <c r="U1" s="9" t="s">
        <v>53</v>
      </c>
      <c r="V1" s="9" t="s">
        <v>54</v>
      </c>
      <c r="W1" s="7" t="s">
        <v>55</v>
      </c>
      <c r="X1" s="9" t="s">
        <v>56</v>
      </c>
      <c r="Y1" s="7" t="s">
        <v>57</v>
      </c>
      <c r="Z1" s="9" t="s">
        <v>58</v>
      </c>
      <c r="AA1" s="9" t="s">
        <v>59</v>
      </c>
      <c r="AB1" s="4" t="s">
        <v>60</v>
      </c>
      <c r="AC1" s="12" t="s">
        <v>62</v>
      </c>
      <c r="AD1" s="11" t="s">
        <v>63</v>
      </c>
      <c r="AE1" s="12" t="s">
        <v>64</v>
      </c>
      <c r="AF1" s="11" t="s">
        <v>65</v>
      </c>
      <c r="AG1" s="13" t="s">
        <v>61</v>
      </c>
    </row>
    <row r="2" spans="1:33" x14ac:dyDescent="0.25">
      <c r="A2" s="5">
        <v>993</v>
      </c>
      <c r="B2" s="6">
        <v>45818</v>
      </c>
      <c r="C2" s="8" t="s">
        <v>24</v>
      </c>
      <c r="D2" s="8" t="s">
        <v>17</v>
      </c>
      <c r="E2" s="8" t="s">
        <v>41</v>
      </c>
      <c r="F2" s="5">
        <v>7344</v>
      </c>
      <c r="G2" s="8" t="s">
        <v>26</v>
      </c>
      <c r="H2" s="8" t="s">
        <v>38</v>
      </c>
      <c r="I2" s="5">
        <v>20</v>
      </c>
      <c r="J2" s="10">
        <v>4964</v>
      </c>
      <c r="K2" s="10">
        <v>99280</v>
      </c>
      <c r="L2" s="10">
        <v>65015.92</v>
      </c>
      <c r="M2" s="10">
        <v>34264.080000000002</v>
      </c>
      <c r="N2" s="8" t="s">
        <v>21</v>
      </c>
      <c r="O2" s="8" t="s">
        <v>33</v>
      </c>
      <c r="P2" s="8" t="s">
        <v>40</v>
      </c>
      <c r="Q2" s="3">
        <f t="shared" ref="Q2:Q65" si="0">M2/K2</f>
        <v>0.34512570507655116</v>
      </c>
      <c r="R2" s="8" t="str" cm="1">
        <f t="array" ref="R2">_xlfn.IFS(Q2&gt;40%,"Alta",Q2&gt;20%,"Média",Q2&lt;20%,"Baixa")</f>
        <v>Média</v>
      </c>
      <c r="T2" s="10">
        <f>SUM(K:K)</f>
        <v>27620683</v>
      </c>
      <c r="U2" s="10">
        <f>SUM(M:M)</f>
        <v>11239376.49999997</v>
      </c>
      <c r="V2" s="10">
        <f>AVERAGE(K:K)</f>
        <v>27620.683000000001</v>
      </c>
      <c r="W2" s="8" t="str">
        <f>AG2</f>
        <v>Marketing</v>
      </c>
      <c r="X2" s="10">
        <f>SUMIF($C:$C,W2,$K:$K)</f>
        <v>6656166</v>
      </c>
      <c r="Y2" s="8" t="str">
        <f>AG8</f>
        <v>Sudeste</v>
      </c>
      <c r="Z2" s="10">
        <f>SUMIF($H:$H,Y2,$K:$K)</f>
        <v>4462914</v>
      </c>
      <c r="AA2" s="10">
        <f>SUMIF(N:N,"Pago",K:K)</f>
        <v>9239152</v>
      </c>
      <c r="AB2" s="5">
        <f>COUNTIF(N:N,"Atrasado")</f>
        <v>355</v>
      </c>
      <c r="AC2" s="8" t="str">
        <f>_xlfn.XLOOKUP(AD2,$K:$K,$P:$P)</f>
        <v>Fernanda</v>
      </c>
      <c r="AD2" s="10">
        <f>LARGE($K:$K,1)</f>
        <v>99280</v>
      </c>
      <c r="AE2" s="8" t="str">
        <f>_xlfn.XLOOKUP(AF2,M:M,O:O)</f>
        <v>Presencial</v>
      </c>
      <c r="AF2" s="10">
        <f>LARGE(M:M,1)</f>
        <v>53173.33</v>
      </c>
      <c r="AG2" s="8" t="str" cm="1">
        <f t="array" ref="AG2:AG5">_xlfn.UNIQUE(C2:C1001)</f>
        <v>Marketing</v>
      </c>
    </row>
    <row r="3" spans="1:33" x14ac:dyDescent="0.25">
      <c r="A3" s="5">
        <v>373</v>
      </c>
      <c r="B3" s="6">
        <v>45704</v>
      </c>
      <c r="C3" s="8" t="s">
        <v>34</v>
      </c>
      <c r="D3" s="8" t="s">
        <v>45</v>
      </c>
      <c r="E3" s="8" t="s">
        <v>25</v>
      </c>
      <c r="F3" s="5">
        <v>4533</v>
      </c>
      <c r="G3" s="8" t="s">
        <v>36</v>
      </c>
      <c r="H3" s="8" t="s">
        <v>20</v>
      </c>
      <c r="I3" s="5">
        <v>20</v>
      </c>
      <c r="J3" s="10">
        <v>4932</v>
      </c>
      <c r="K3" s="10">
        <v>98640</v>
      </c>
      <c r="L3" s="10">
        <v>62797.1</v>
      </c>
      <c r="M3" s="10">
        <v>35842.9</v>
      </c>
      <c r="N3" s="8" t="s">
        <v>28</v>
      </c>
      <c r="O3" s="8" t="s">
        <v>22</v>
      </c>
      <c r="P3" s="8" t="s">
        <v>46</v>
      </c>
      <c r="Q3" s="3">
        <f t="shared" si="0"/>
        <v>0.36337084347120846</v>
      </c>
      <c r="R3" s="8" t="str" cm="1">
        <f t="array" ref="R3">_xlfn.IFS(Q3&gt;40%,"Alta",Q3&gt;20%,"Média",Q3&lt;20%,"Baixa")</f>
        <v>Média</v>
      </c>
      <c r="V3" s="10"/>
      <c r="W3" s="8" t="str">
        <f>AG3</f>
        <v>Financeiro</v>
      </c>
      <c r="X3" s="10">
        <f>SUMIF($C:$C,W3,$K:$K)</f>
        <v>7072420</v>
      </c>
      <c r="Y3" s="8" t="str">
        <f>AG9</f>
        <v>Norte</v>
      </c>
      <c r="Z3" s="10">
        <f>SUMIF($H:$H,Y3,$K:$K)</f>
        <v>6266166</v>
      </c>
      <c r="AA3" s="10"/>
      <c r="AB3" s="5"/>
      <c r="AC3" s="8" t="str">
        <f t="shared" ref="AC3:AC6" si="1">_xlfn.XLOOKUP(AD3,$K:$K,$P:$P)</f>
        <v>Carla</v>
      </c>
      <c r="AD3" s="10">
        <f>LARGE($K:$K,2)</f>
        <v>98640</v>
      </c>
      <c r="AE3" s="8"/>
      <c r="AF3" s="10"/>
      <c r="AG3" s="8" t="str">
        <v>Financeiro</v>
      </c>
    </row>
    <row r="4" spans="1:33" x14ac:dyDescent="0.25">
      <c r="A4" s="5">
        <v>968</v>
      </c>
      <c r="B4" s="6">
        <v>45827</v>
      </c>
      <c r="C4" s="8" t="s">
        <v>16</v>
      </c>
      <c r="D4" s="8" t="s">
        <v>35</v>
      </c>
      <c r="E4" s="8" t="s">
        <v>18</v>
      </c>
      <c r="F4" s="5">
        <v>6868</v>
      </c>
      <c r="G4" s="8" t="s">
        <v>26</v>
      </c>
      <c r="H4" s="8" t="s">
        <v>20</v>
      </c>
      <c r="I4" s="5">
        <v>20</v>
      </c>
      <c r="J4" s="10">
        <v>4910</v>
      </c>
      <c r="K4" s="10">
        <v>98200</v>
      </c>
      <c r="L4" s="10">
        <v>53167.75</v>
      </c>
      <c r="M4" s="10">
        <v>45032.25</v>
      </c>
      <c r="N4" s="8" t="s">
        <v>28</v>
      </c>
      <c r="O4" s="8" t="s">
        <v>39</v>
      </c>
      <c r="P4" s="8" t="s">
        <v>23</v>
      </c>
      <c r="Q4" s="3">
        <f t="shared" si="0"/>
        <v>0.45857688391038698</v>
      </c>
      <c r="R4" s="8" t="str" cm="1">
        <f t="array" ref="R4">_xlfn.IFS(Q4&gt;40%,"Alta",Q4&gt;20%,"Média",Q4&lt;20%,"Baixa")</f>
        <v>Alta</v>
      </c>
      <c r="V4" s="10"/>
      <c r="W4" s="8" t="str">
        <f>AG4</f>
        <v>Operações</v>
      </c>
      <c r="X4" s="10">
        <f>SUMIF($C:$C,W4,$K:$K)</f>
        <v>7756812</v>
      </c>
      <c r="Y4" s="8" t="str">
        <f>AG10</f>
        <v>Nordeste</v>
      </c>
      <c r="Z4" s="10">
        <f>SUMIF($H:$H,Y4,$K:$K)</f>
        <v>5920077</v>
      </c>
      <c r="AA4" s="10"/>
      <c r="AB4" s="5"/>
      <c r="AC4" s="8" t="str">
        <f t="shared" si="1"/>
        <v>Diego</v>
      </c>
      <c r="AD4" s="10">
        <f>LARGE($K:$K,3)</f>
        <v>98200</v>
      </c>
      <c r="AE4" s="8"/>
      <c r="AF4" s="10"/>
      <c r="AG4" s="8" t="str">
        <v>Operações</v>
      </c>
    </row>
    <row r="5" spans="1:33" x14ac:dyDescent="0.25">
      <c r="A5" s="5">
        <v>206</v>
      </c>
      <c r="B5" s="6">
        <v>45672</v>
      </c>
      <c r="C5" s="8" t="s">
        <v>24</v>
      </c>
      <c r="D5" s="8" t="s">
        <v>30</v>
      </c>
      <c r="E5" s="8" t="s">
        <v>18</v>
      </c>
      <c r="F5" s="5">
        <v>7473</v>
      </c>
      <c r="G5" s="8" t="s">
        <v>26</v>
      </c>
      <c r="H5" s="8" t="s">
        <v>20</v>
      </c>
      <c r="I5" s="5">
        <v>20</v>
      </c>
      <c r="J5" s="10">
        <v>4829</v>
      </c>
      <c r="K5" s="10">
        <v>96580</v>
      </c>
      <c r="L5" s="10">
        <v>74706.7</v>
      </c>
      <c r="M5" s="10">
        <v>21873.3</v>
      </c>
      <c r="N5" s="8" t="s">
        <v>32</v>
      </c>
      <c r="O5" s="8" t="s">
        <v>39</v>
      </c>
      <c r="P5" s="8" t="s">
        <v>44</v>
      </c>
      <c r="Q5" s="3">
        <f t="shared" si="0"/>
        <v>0.22647856699109545</v>
      </c>
      <c r="R5" s="8" t="str" cm="1">
        <f t="array" ref="R5">_xlfn.IFS(Q5&gt;40%,"Alta",Q5&gt;20%,"Média",Q5&lt;20%,"Baixa")</f>
        <v>Média</v>
      </c>
      <c r="V5" s="10"/>
      <c r="W5" s="8" t="str">
        <f>AG5</f>
        <v>Vendas</v>
      </c>
      <c r="X5" s="10">
        <f>SUMIF($C:$C,W5,$K:$K)</f>
        <v>6135285</v>
      </c>
      <c r="Y5" s="8" t="str">
        <f>AG11</f>
        <v>Sul</v>
      </c>
      <c r="Z5" s="10">
        <f>SUMIF($H:$H,Y5,$K:$K)</f>
        <v>5926294</v>
      </c>
      <c r="AA5" s="10"/>
      <c r="AB5" s="5"/>
      <c r="AC5" s="8" t="str">
        <f t="shared" si="1"/>
        <v>Bruno</v>
      </c>
      <c r="AD5" s="10">
        <f>LARGE($K:$K,4)</f>
        <v>96580</v>
      </c>
      <c r="AE5" s="8"/>
      <c r="AF5" s="10"/>
      <c r="AG5" s="8" t="str">
        <v>Vendas</v>
      </c>
    </row>
    <row r="6" spans="1:33" x14ac:dyDescent="0.25">
      <c r="A6" s="5">
        <v>11</v>
      </c>
      <c r="B6" s="6">
        <v>45770</v>
      </c>
      <c r="C6" s="8" t="s">
        <v>24</v>
      </c>
      <c r="D6" s="8" t="s">
        <v>35</v>
      </c>
      <c r="E6" s="8" t="s">
        <v>41</v>
      </c>
      <c r="F6" s="5">
        <v>4313</v>
      </c>
      <c r="G6" s="8" t="s">
        <v>19</v>
      </c>
      <c r="H6" s="8" t="s">
        <v>38</v>
      </c>
      <c r="I6" s="5">
        <v>20</v>
      </c>
      <c r="J6" s="10">
        <v>4712</v>
      </c>
      <c r="K6" s="10">
        <v>94240</v>
      </c>
      <c r="L6" s="10">
        <v>45954.94</v>
      </c>
      <c r="M6" s="10">
        <v>48285.06</v>
      </c>
      <c r="N6" s="8" t="s">
        <v>32</v>
      </c>
      <c r="O6" s="8" t="s">
        <v>33</v>
      </c>
      <c r="P6" s="8" t="s">
        <v>40</v>
      </c>
      <c r="Q6" s="3">
        <f t="shared" si="0"/>
        <v>0.51236269100169773</v>
      </c>
      <c r="R6" s="8" t="str" cm="1">
        <f t="array" ref="R6">_xlfn.IFS(Q6&gt;40%,"Alta",Q6&gt;20%,"Média",Q6&lt;20%,"Baixa")</f>
        <v>Alta</v>
      </c>
      <c r="V6" s="10"/>
      <c r="W6" s="8"/>
      <c r="X6" s="10"/>
      <c r="Y6" s="8" t="str">
        <f>AG12</f>
        <v>Centro-Oeste</v>
      </c>
      <c r="Z6" s="10">
        <f>SUMIF($H:$H,Y6,$K:$K)</f>
        <v>5045232</v>
      </c>
      <c r="AA6" s="10"/>
      <c r="AB6" s="5"/>
      <c r="AC6" s="8" t="str">
        <f t="shared" si="1"/>
        <v>Fernanda</v>
      </c>
      <c r="AD6" s="10">
        <f>LARGE($K:$K,5)</f>
        <v>94240</v>
      </c>
      <c r="AE6" s="8"/>
      <c r="AF6" s="10"/>
    </row>
    <row r="7" spans="1:33" x14ac:dyDescent="0.25">
      <c r="A7" s="5">
        <v>200</v>
      </c>
      <c r="B7" s="6">
        <v>45729</v>
      </c>
      <c r="C7" s="8" t="s">
        <v>47</v>
      </c>
      <c r="D7" s="8" t="s">
        <v>35</v>
      </c>
      <c r="E7" s="8" t="s">
        <v>37</v>
      </c>
      <c r="F7" s="5">
        <v>2245</v>
      </c>
      <c r="G7" s="8" t="s">
        <v>36</v>
      </c>
      <c r="H7" s="8" t="s">
        <v>43</v>
      </c>
      <c r="I7" s="5">
        <v>20</v>
      </c>
      <c r="J7" s="10">
        <v>4708</v>
      </c>
      <c r="K7" s="10">
        <v>94160</v>
      </c>
      <c r="L7" s="10">
        <v>44003.31</v>
      </c>
      <c r="M7" s="10">
        <v>50156.69</v>
      </c>
      <c r="N7" s="8" t="s">
        <v>28</v>
      </c>
      <c r="O7" s="8" t="s">
        <v>22</v>
      </c>
      <c r="P7" s="8" t="s">
        <v>46</v>
      </c>
      <c r="Q7" s="3">
        <f t="shared" si="0"/>
        <v>0.53267512744265089</v>
      </c>
      <c r="R7" s="8" t="str" cm="1">
        <f t="array" ref="R7">_xlfn.IFS(Q7&gt;40%,"Alta",Q7&gt;20%,"Média",Q7&lt;20%,"Baixa")</f>
        <v>Alta</v>
      </c>
    </row>
    <row r="8" spans="1:33" x14ac:dyDescent="0.25">
      <c r="A8" s="5">
        <v>376</v>
      </c>
      <c r="B8" s="6">
        <v>45810</v>
      </c>
      <c r="C8" s="8" t="s">
        <v>47</v>
      </c>
      <c r="D8" s="8" t="s">
        <v>35</v>
      </c>
      <c r="E8" s="8" t="s">
        <v>37</v>
      </c>
      <c r="F8" s="5">
        <v>2803</v>
      </c>
      <c r="G8" s="8" t="s">
        <v>19</v>
      </c>
      <c r="H8" s="8" t="s">
        <v>20</v>
      </c>
      <c r="I8" s="5">
        <v>19</v>
      </c>
      <c r="J8" s="10">
        <v>4919</v>
      </c>
      <c r="K8" s="10">
        <v>93461</v>
      </c>
      <c r="L8" s="10">
        <v>73729.740000000005</v>
      </c>
      <c r="M8" s="10">
        <v>19731.259999999998</v>
      </c>
      <c r="N8" s="8" t="s">
        <v>21</v>
      </c>
      <c r="O8" s="8" t="s">
        <v>39</v>
      </c>
      <c r="P8" s="8" t="s">
        <v>23</v>
      </c>
      <c r="Q8" s="3">
        <f t="shared" si="0"/>
        <v>0.2111175784551845</v>
      </c>
      <c r="R8" s="8" t="str" cm="1">
        <f t="array" ref="R8">_xlfn.IFS(Q8&gt;40%,"Alta",Q8&gt;20%,"Média",Q8&lt;20%,"Baixa")</f>
        <v>Média</v>
      </c>
      <c r="AG8" s="8" t="str" cm="1">
        <f t="array" ref="AG8:AG12">_xlfn.UNIQUE(H2:H1001)</f>
        <v>Sudeste</v>
      </c>
    </row>
    <row r="9" spans="1:33" x14ac:dyDescent="0.25">
      <c r="A9" s="5">
        <v>344</v>
      </c>
      <c r="B9" s="6">
        <v>45754</v>
      </c>
      <c r="C9" s="8" t="s">
        <v>34</v>
      </c>
      <c r="D9" s="8" t="s">
        <v>30</v>
      </c>
      <c r="E9" s="8" t="s">
        <v>41</v>
      </c>
      <c r="F9" s="5">
        <v>4938</v>
      </c>
      <c r="G9" s="8" t="s">
        <v>19</v>
      </c>
      <c r="H9" s="8" t="s">
        <v>31</v>
      </c>
      <c r="I9" s="5">
        <v>19</v>
      </c>
      <c r="J9" s="10">
        <v>4804</v>
      </c>
      <c r="K9" s="10">
        <v>91276</v>
      </c>
      <c r="L9" s="10">
        <v>41160.89</v>
      </c>
      <c r="M9" s="10">
        <v>50115.11</v>
      </c>
      <c r="N9" s="8" t="s">
        <v>28</v>
      </c>
      <c r="O9" s="8" t="s">
        <v>39</v>
      </c>
      <c r="P9" s="8" t="s">
        <v>23</v>
      </c>
      <c r="Q9" s="3">
        <f t="shared" si="0"/>
        <v>0.5490502432183707</v>
      </c>
      <c r="R9" s="8" t="str" cm="1">
        <f t="array" ref="R9">_xlfn.IFS(Q9&gt;40%,"Alta",Q9&gt;20%,"Média",Q9&lt;20%,"Baixa")</f>
        <v>Alta</v>
      </c>
      <c r="AG9" s="8" t="str">
        <v>Norte</v>
      </c>
    </row>
    <row r="10" spans="1:33" x14ac:dyDescent="0.25">
      <c r="A10" s="5">
        <v>523</v>
      </c>
      <c r="B10" s="6">
        <v>45755</v>
      </c>
      <c r="C10" s="8" t="s">
        <v>24</v>
      </c>
      <c r="D10" s="8" t="s">
        <v>17</v>
      </c>
      <c r="E10" s="8" t="s">
        <v>25</v>
      </c>
      <c r="F10" s="5">
        <v>1775</v>
      </c>
      <c r="G10" s="8" t="s">
        <v>19</v>
      </c>
      <c r="H10" s="8" t="s">
        <v>20</v>
      </c>
      <c r="I10" s="5">
        <v>20</v>
      </c>
      <c r="J10" s="10">
        <v>4548</v>
      </c>
      <c r="K10" s="10">
        <v>90960</v>
      </c>
      <c r="L10" s="10">
        <v>37786.67</v>
      </c>
      <c r="M10" s="10">
        <v>53173.33</v>
      </c>
      <c r="N10" s="8" t="s">
        <v>28</v>
      </c>
      <c r="O10" s="8" t="s">
        <v>22</v>
      </c>
      <c r="P10" s="8" t="s">
        <v>29</v>
      </c>
      <c r="Q10" s="3">
        <f t="shared" si="0"/>
        <v>0.58457926561125773</v>
      </c>
      <c r="R10" s="8" t="str" cm="1">
        <f t="array" ref="R10">_xlfn.IFS(Q10&gt;40%,"Alta",Q10&gt;20%,"Média",Q10&lt;20%,"Baixa")</f>
        <v>Alta</v>
      </c>
      <c r="AG10" s="8" t="str">
        <v>Nordeste</v>
      </c>
    </row>
    <row r="11" spans="1:33" x14ac:dyDescent="0.25">
      <c r="A11" s="5">
        <v>9</v>
      </c>
      <c r="B11" s="6">
        <v>45757</v>
      </c>
      <c r="C11" s="8" t="s">
        <v>16</v>
      </c>
      <c r="D11" s="8" t="s">
        <v>35</v>
      </c>
      <c r="E11" s="8" t="s">
        <v>41</v>
      </c>
      <c r="F11" s="5">
        <v>6141</v>
      </c>
      <c r="G11" s="8" t="s">
        <v>36</v>
      </c>
      <c r="H11" s="8" t="s">
        <v>38</v>
      </c>
      <c r="I11" s="5">
        <v>18</v>
      </c>
      <c r="J11" s="10">
        <v>4922</v>
      </c>
      <c r="K11" s="10">
        <v>88596</v>
      </c>
      <c r="L11" s="10">
        <v>50805.81</v>
      </c>
      <c r="M11" s="10">
        <v>37790.19</v>
      </c>
      <c r="N11" s="8" t="s">
        <v>32</v>
      </c>
      <c r="O11" s="8" t="s">
        <v>22</v>
      </c>
      <c r="P11" s="8" t="s">
        <v>44</v>
      </c>
      <c r="Q11" s="3">
        <f t="shared" si="0"/>
        <v>0.42654510361641612</v>
      </c>
      <c r="R11" s="8" t="str" cm="1">
        <f t="array" ref="R11">_xlfn.IFS(Q11&gt;40%,"Alta",Q11&gt;20%,"Média",Q11&lt;20%,"Baixa")</f>
        <v>Alta</v>
      </c>
      <c r="AG11" s="8" t="str">
        <v>Sul</v>
      </c>
    </row>
    <row r="12" spans="1:33" x14ac:dyDescent="0.25">
      <c r="A12" s="5">
        <v>120</v>
      </c>
      <c r="B12" s="6">
        <v>45808</v>
      </c>
      <c r="C12" s="8" t="s">
        <v>47</v>
      </c>
      <c r="D12" s="8" t="s">
        <v>35</v>
      </c>
      <c r="E12" s="8" t="s">
        <v>37</v>
      </c>
      <c r="F12" s="5">
        <v>4853</v>
      </c>
      <c r="G12" s="8" t="s">
        <v>36</v>
      </c>
      <c r="H12" s="8" t="s">
        <v>31</v>
      </c>
      <c r="I12" s="5">
        <v>18</v>
      </c>
      <c r="J12" s="10">
        <v>4777</v>
      </c>
      <c r="K12" s="10">
        <v>85986</v>
      </c>
      <c r="L12" s="10">
        <v>34912.44</v>
      </c>
      <c r="M12" s="10">
        <v>51073.56</v>
      </c>
      <c r="N12" s="8" t="s">
        <v>21</v>
      </c>
      <c r="O12" s="8" t="s">
        <v>33</v>
      </c>
      <c r="P12" s="8" t="s">
        <v>40</v>
      </c>
      <c r="Q12" s="3">
        <f t="shared" si="0"/>
        <v>0.59397529830437512</v>
      </c>
      <c r="R12" s="8" t="str" cm="1">
        <f t="array" ref="R12">_xlfn.IFS(Q12&gt;40%,"Alta",Q12&gt;20%,"Média",Q12&lt;20%,"Baixa")</f>
        <v>Alta</v>
      </c>
      <c r="AG12" s="8" t="str">
        <v>Centro-Oeste</v>
      </c>
    </row>
    <row r="13" spans="1:33" x14ac:dyDescent="0.25">
      <c r="A13" s="5">
        <v>77</v>
      </c>
      <c r="B13" s="6">
        <v>45743</v>
      </c>
      <c r="C13" s="8" t="s">
        <v>16</v>
      </c>
      <c r="D13" s="8" t="s">
        <v>17</v>
      </c>
      <c r="E13" s="8" t="s">
        <v>37</v>
      </c>
      <c r="F13" s="5">
        <v>5461</v>
      </c>
      <c r="G13" s="8" t="s">
        <v>36</v>
      </c>
      <c r="H13" s="8" t="s">
        <v>31</v>
      </c>
      <c r="I13" s="5">
        <v>19</v>
      </c>
      <c r="J13" s="10">
        <v>4524</v>
      </c>
      <c r="K13" s="10">
        <v>85956</v>
      </c>
      <c r="L13" s="10">
        <v>44074.98</v>
      </c>
      <c r="M13" s="10">
        <v>41881.019999999997</v>
      </c>
      <c r="N13" s="8" t="s">
        <v>28</v>
      </c>
      <c r="O13" s="8" t="s">
        <v>39</v>
      </c>
      <c r="P13" s="8" t="s">
        <v>23</v>
      </c>
      <c r="Q13" s="3">
        <f t="shared" si="0"/>
        <v>0.48723788915258964</v>
      </c>
      <c r="R13" s="8" t="str" cm="1">
        <f t="array" ref="R13">_xlfn.IFS(Q13&gt;40%,"Alta",Q13&gt;20%,"Média",Q13&lt;20%,"Baixa")</f>
        <v>Alta</v>
      </c>
    </row>
    <row r="14" spans="1:33" x14ac:dyDescent="0.25">
      <c r="A14" s="5">
        <v>354</v>
      </c>
      <c r="B14" s="6">
        <v>45754</v>
      </c>
      <c r="C14" s="8" t="s">
        <v>24</v>
      </c>
      <c r="D14" s="8" t="s">
        <v>42</v>
      </c>
      <c r="E14" s="8" t="s">
        <v>18</v>
      </c>
      <c r="F14" s="5">
        <v>7638</v>
      </c>
      <c r="G14" s="8" t="s">
        <v>19</v>
      </c>
      <c r="H14" s="8" t="s">
        <v>20</v>
      </c>
      <c r="I14" s="5">
        <v>18</v>
      </c>
      <c r="J14" s="10">
        <v>4758</v>
      </c>
      <c r="K14" s="10">
        <v>85644</v>
      </c>
      <c r="L14" s="10">
        <v>38816.54</v>
      </c>
      <c r="M14" s="10">
        <v>46827.46</v>
      </c>
      <c r="N14" s="8" t="s">
        <v>21</v>
      </c>
      <c r="O14" s="8" t="s">
        <v>22</v>
      </c>
      <c r="P14" s="8" t="s">
        <v>40</v>
      </c>
      <c r="Q14" s="3">
        <f t="shared" si="0"/>
        <v>0.5467687170146186</v>
      </c>
      <c r="R14" s="8" t="str" cm="1">
        <f t="array" ref="R14">_xlfn.IFS(Q14&gt;40%,"Alta",Q14&gt;20%,"Média",Q14&lt;20%,"Baixa")</f>
        <v>Alta</v>
      </c>
    </row>
    <row r="15" spans="1:33" x14ac:dyDescent="0.25">
      <c r="A15" s="5">
        <v>95</v>
      </c>
      <c r="B15" s="6">
        <v>45724</v>
      </c>
      <c r="C15" s="8" t="s">
        <v>16</v>
      </c>
      <c r="D15" s="8" t="s">
        <v>30</v>
      </c>
      <c r="E15" s="8" t="s">
        <v>41</v>
      </c>
      <c r="F15" s="5">
        <v>3058</v>
      </c>
      <c r="G15" s="8" t="s">
        <v>36</v>
      </c>
      <c r="H15" s="8" t="s">
        <v>20</v>
      </c>
      <c r="I15" s="5">
        <v>17</v>
      </c>
      <c r="J15" s="10">
        <v>4935</v>
      </c>
      <c r="K15" s="10">
        <v>83895</v>
      </c>
      <c r="L15" s="10">
        <v>48728.32</v>
      </c>
      <c r="M15" s="10">
        <v>35166.68</v>
      </c>
      <c r="N15" s="8" t="s">
        <v>32</v>
      </c>
      <c r="O15" s="8" t="s">
        <v>33</v>
      </c>
      <c r="P15" s="8" t="s">
        <v>40</v>
      </c>
      <c r="Q15" s="3">
        <f t="shared" si="0"/>
        <v>0.41917492103224269</v>
      </c>
      <c r="R15" s="8" t="str" cm="1">
        <f t="array" ref="R15">_xlfn.IFS(Q15&gt;40%,"Alta",Q15&gt;20%,"Média",Q15&lt;20%,"Baixa")</f>
        <v>Alta</v>
      </c>
    </row>
    <row r="16" spans="1:33" x14ac:dyDescent="0.25">
      <c r="A16" s="5">
        <v>923</v>
      </c>
      <c r="B16" s="6">
        <v>45730</v>
      </c>
      <c r="C16" s="8" t="s">
        <v>47</v>
      </c>
      <c r="D16" s="8" t="s">
        <v>17</v>
      </c>
      <c r="E16" s="8" t="s">
        <v>25</v>
      </c>
      <c r="F16" s="5">
        <v>4677</v>
      </c>
      <c r="G16" s="8" t="s">
        <v>36</v>
      </c>
      <c r="H16" s="8" t="s">
        <v>43</v>
      </c>
      <c r="I16" s="5">
        <v>20</v>
      </c>
      <c r="J16" s="10">
        <v>4175</v>
      </c>
      <c r="K16" s="10">
        <v>83500</v>
      </c>
      <c r="L16" s="10">
        <v>44838.74</v>
      </c>
      <c r="M16" s="10">
        <v>38661.26</v>
      </c>
      <c r="N16" s="8" t="s">
        <v>32</v>
      </c>
      <c r="O16" s="8" t="s">
        <v>39</v>
      </c>
      <c r="P16" s="8" t="s">
        <v>29</v>
      </c>
      <c r="Q16" s="3">
        <f t="shared" si="0"/>
        <v>0.4630091017964072</v>
      </c>
      <c r="R16" s="8" t="str" cm="1">
        <f t="array" ref="R16">_xlfn.IFS(Q16&gt;40%,"Alta",Q16&gt;20%,"Média",Q16&lt;20%,"Baixa")</f>
        <v>Alta</v>
      </c>
    </row>
    <row r="17" spans="1:18" x14ac:dyDescent="0.25">
      <c r="A17" s="5">
        <v>531</v>
      </c>
      <c r="B17" s="6">
        <v>45761</v>
      </c>
      <c r="C17" s="8" t="s">
        <v>47</v>
      </c>
      <c r="D17" s="8" t="s">
        <v>45</v>
      </c>
      <c r="E17" s="8" t="s">
        <v>37</v>
      </c>
      <c r="F17" s="5">
        <v>4273</v>
      </c>
      <c r="G17" s="8" t="s">
        <v>26</v>
      </c>
      <c r="H17" s="8" t="s">
        <v>27</v>
      </c>
      <c r="I17" s="5">
        <v>17</v>
      </c>
      <c r="J17" s="10">
        <v>4905</v>
      </c>
      <c r="K17" s="10">
        <v>83385</v>
      </c>
      <c r="L17" s="10">
        <v>43844.74</v>
      </c>
      <c r="M17" s="10">
        <v>39540.26</v>
      </c>
      <c r="N17" s="8" t="s">
        <v>32</v>
      </c>
      <c r="O17" s="8" t="s">
        <v>22</v>
      </c>
      <c r="P17" s="8" t="s">
        <v>46</v>
      </c>
      <c r="Q17" s="3">
        <f t="shared" si="0"/>
        <v>0.47418912274389879</v>
      </c>
      <c r="R17" s="8" t="str" cm="1">
        <f t="array" ref="R17">_xlfn.IFS(Q17&gt;40%,"Alta",Q17&gt;20%,"Média",Q17&lt;20%,"Baixa")</f>
        <v>Alta</v>
      </c>
    </row>
    <row r="18" spans="1:18" x14ac:dyDescent="0.25">
      <c r="A18" s="5">
        <v>486</v>
      </c>
      <c r="B18" s="6">
        <v>45836</v>
      </c>
      <c r="C18" s="8" t="s">
        <v>24</v>
      </c>
      <c r="D18" s="8" t="s">
        <v>42</v>
      </c>
      <c r="E18" s="8" t="s">
        <v>37</v>
      </c>
      <c r="F18" s="5">
        <v>1929</v>
      </c>
      <c r="G18" s="8" t="s">
        <v>36</v>
      </c>
      <c r="H18" s="8" t="s">
        <v>31</v>
      </c>
      <c r="I18" s="5">
        <v>20</v>
      </c>
      <c r="J18" s="10">
        <v>4156</v>
      </c>
      <c r="K18" s="10">
        <v>83120</v>
      </c>
      <c r="L18" s="10">
        <v>56472.61</v>
      </c>
      <c r="M18" s="10">
        <v>26647.39</v>
      </c>
      <c r="N18" s="8" t="s">
        <v>32</v>
      </c>
      <c r="O18" s="8" t="s">
        <v>33</v>
      </c>
      <c r="P18" s="8" t="s">
        <v>46</v>
      </c>
      <c r="Q18" s="3">
        <f t="shared" si="0"/>
        <v>0.32058938883541865</v>
      </c>
      <c r="R18" s="8" t="str" cm="1">
        <f t="array" ref="R18">_xlfn.IFS(Q18&gt;40%,"Alta",Q18&gt;20%,"Média",Q18&lt;20%,"Baixa")</f>
        <v>Média</v>
      </c>
    </row>
    <row r="19" spans="1:18" x14ac:dyDescent="0.25">
      <c r="A19" s="5">
        <v>679</v>
      </c>
      <c r="B19" s="6">
        <v>45743</v>
      </c>
      <c r="C19" s="8" t="s">
        <v>34</v>
      </c>
      <c r="D19" s="8" t="s">
        <v>42</v>
      </c>
      <c r="E19" s="8" t="s">
        <v>37</v>
      </c>
      <c r="F19" s="5">
        <v>3843</v>
      </c>
      <c r="G19" s="8" t="s">
        <v>26</v>
      </c>
      <c r="H19" s="8" t="s">
        <v>20</v>
      </c>
      <c r="I19" s="5">
        <v>20</v>
      </c>
      <c r="J19" s="10">
        <v>4151</v>
      </c>
      <c r="K19" s="10">
        <v>83020</v>
      </c>
      <c r="L19" s="10">
        <v>63792.18</v>
      </c>
      <c r="M19" s="10">
        <v>19227.82</v>
      </c>
      <c r="N19" s="8" t="s">
        <v>32</v>
      </c>
      <c r="O19" s="8" t="s">
        <v>22</v>
      </c>
      <c r="P19" s="8" t="s">
        <v>40</v>
      </c>
      <c r="Q19" s="3">
        <f t="shared" si="0"/>
        <v>0.23160467357263309</v>
      </c>
      <c r="R19" s="8" t="str" cm="1">
        <f t="array" ref="R19">_xlfn.IFS(Q19&gt;40%,"Alta",Q19&gt;20%,"Média",Q19&lt;20%,"Baixa")</f>
        <v>Média</v>
      </c>
    </row>
    <row r="20" spans="1:18" x14ac:dyDescent="0.25">
      <c r="A20" s="5">
        <v>162</v>
      </c>
      <c r="B20" s="6">
        <v>45693</v>
      </c>
      <c r="C20" s="8" t="s">
        <v>47</v>
      </c>
      <c r="D20" s="8" t="s">
        <v>45</v>
      </c>
      <c r="E20" s="8" t="s">
        <v>18</v>
      </c>
      <c r="F20" s="5">
        <v>3068</v>
      </c>
      <c r="G20" s="8" t="s">
        <v>19</v>
      </c>
      <c r="H20" s="8" t="s">
        <v>38</v>
      </c>
      <c r="I20" s="5">
        <v>20</v>
      </c>
      <c r="J20" s="10">
        <v>4133</v>
      </c>
      <c r="K20" s="10">
        <v>82660</v>
      </c>
      <c r="L20" s="10">
        <v>33885.4</v>
      </c>
      <c r="M20" s="10">
        <v>48774.6</v>
      </c>
      <c r="N20" s="8" t="s">
        <v>32</v>
      </c>
      <c r="O20" s="8" t="s">
        <v>22</v>
      </c>
      <c r="P20" s="8" t="s">
        <v>44</v>
      </c>
      <c r="Q20" s="3">
        <f t="shared" si="0"/>
        <v>0.59006290829905639</v>
      </c>
      <c r="R20" s="8" t="str" cm="1">
        <f t="array" ref="R20">_xlfn.IFS(Q20&gt;40%,"Alta",Q20&gt;20%,"Média",Q20&lt;20%,"Baixa")</f>
        <v>Alta</v>
      </c>
    </row>
    <row r="21" spans="1:18" x14ac:dyDescent="0.25">
      <c r="A21" s="5">
        <v>592</v>
      </c>
      <c r="B21" s="6">
        <v>45767</v>
      </c>
      <c r="C21" s="8" t="s">
        <v>24</v>
      </c>
      <c r="D21" s="8" t="s">
        <v>30</v>
      </c>
      <c r="E21" s="8" t="s">
        <v>37</v>
      </c>
      <c r="F21" s="5">
        <v>9102</v>
      </c>
      <c r="G21" s="8" t="s">
        <v>36</v>
      </c>
      <c r="H21" s="8" t="s">
        <v>38</v>
      </c>
      <c r="I21" s="5">
        <v>17</v>
      </c>
      <c r="J21" s="10">
        <v>4778</v>
      </c>
      <c r="K21" s="10">
        <v>81226</v>
      </c>
      <c r="L21" s="10">
        <v>48855.59</v>
      </c>
      <c r="M21" s="10">
        <v>32370.41</v>
      </c>
      <c r="N21" s="8" t="s">
        <v>28</v>
      </c>
      <c r="O21" s="8" t="s">
        <v>22</v>
      </c>
      <c r="P21" s="8" t="s">
        <v>29</v>
      </c>
      <c r="Q21" s="3">
        <f t="shared" si="0"/>
        <v>0.39852276364710809</v>
      </c>
      <c r="R21" s="8" t="str" cm="1">
        <f t="array" ref="R21">_xlfn.IFS(Q21&gt;40%,"Alta",Q21&gt;20%,"Média",Q21&lt;20%,"Baixa")</f>
        <v>Média</v>
      </c>
    </row>
    <row r="22" spans="1:18" x14ac:dyDescent="0.25">
      <c r="A22" s="5">
        <v>594</v>
      </c>
      <c r="B22" s="6">
        <v>45692</v>
      </c>
      <c r="C22" s="8" t="s">
        <v>47</v>
      </c>
      <c r="D22" s="8" t="s">
        <v>30</v>
      </c>
      <c r="E22" s="8" t="s">
        <v>37</v>
      </c>
      <c r="F22" s="5">
        <v>3865</v>
      </c>
      <c r="G22" s="8" t="s">
        <v>36</v>
      </c>
      <c r="H22" s="8" t="s">
        <v>20</v>
      </c>
      <c r="I22" s="5">
        <v>19</v>
      </c>
      <c r="J22" s="10">
        <v>4274</v>
      </c>
      <c r="K22" s="10">
        <v>81206</v>
      </c>
      <c r="L22" s="10">
        <v>38402.550000000003</v>
      </c>
      <c r="M22" s="10">
        <v>42803.45</v>
      </c>
      <c r="N22" s="8" t="s">
        <v>21</v>
      </c>
      <c r="O22" s="8" t="s">
        <v>22</v>
      </c>
      <c r="P22" s="8" t="s">
        <v>46</v>
      </c>
      <c r="Q22" s="3">
        <f t="shared" si="0"/>
        <v>0.52709713567962957</v>
      </c>
      <c r="R22" s="8" t="str" cm="1">
        <f t="array" ref="R22">_xlfn.IFS(Q22&gt;40%,"Alta",Q22&gt;20%,"Média",Q22&lt;20%,"Baixa")</f>
        <v>Alta</v>
      </c>
    </row>
    <row r="23" spans="1:18" x14ac:dyDescent="0.25">
      <c r="A23" s="5">
        <v>622</v>
      </c>
      <c r="B23" s="6">
        <v>45838</v>
      </c>
      <c r="C23" s="8" t="s">
        <v>16</v>
      </c>
      <c r="D23" s="8" t="s">
        <v>35</v>
      </c>
      <c r="E23" s="8" t="s">
        <v>37</v>
      </c>
      <c r="F23" s="5">
        <v>4356</v>
      </c>
      <c r="G23" s="8" t="s">
        <v>36</v>
      </c>
      <c r="H23" s="8" t="s">
        <v>27</v>
      </c>
      <c r="I23" s="5">
        <v>19</v>
      </c>
      <c r="J23" s="10">
        <v>4269</v>
      </c>
      <c r="K23" s="10">
        <v>81111</v>
      </c>
      <c r="L23" s="10">
        <v>45816.02</v>
      </c>
      <c r="M23" s="10">
        <v>35294.980000000003</v>
      </c>
      <c r="N23" s="8" t="s">
        <v>21</v>
      </c>
      <c r="O23" s="8" t="s">
        <v>22</v>
      </c>
      <c r="P23" s="8" t="s">
        <v>29</v>
      </c>
      <c r="Q23" s="3">
        <f t="shared" si="0"/>
        <v>0.43514418512902076</v>
      </c>
      <c r="R23" s="8" t="str" cm="1">
        <f t="array" ref="R23">_xlfn.IFS(Q23&gt;40%,"Alta",Q23&gt;20%,"Média",Q23&lt;20%,"Baixa")</f>
        <v>Alta</v>
      </c>
    </row>
    <row r="24" spans="1:18" x14ac:dyDescent="0.25">
      <c r="A24" s="5">
        <v>488</v>
      </c>
      <c r="B24" s="6">
        <v>45660</v>
      </c>
      <c r="C24" s="8" t="s">
        <v>24</v>
      </c>
      <c r="D24" s="8" t="s">
        <v>30</v>
      </c>
      <c r="E24" s="8" t="s">
        <v>25</v>
      </c>
      <c r="F24" s="5">
        <v>9884</v>
      </c>
      <c r="G24" s="8" t="s">
        <v>36</v>
      </c>
      <c r="H24" s="8" t="s">
        <v>31</v>
      </c>
      <c r="I24" s="5">
        <v>18</v>
      </c>
      <c r="J24" s="10">
        <v>4494</v>
      </c>
      <c r="K24" s="10">
        <v>80892</v>
      </c>
      <c r="L24" s="10">
        <v>63674.04</v>
      </c>
      <c r="M24" s="10">
        <v>17217.96</v>
      </c>
      <c r="N24" s="8" t="s">
        <v>32</v>
      </c>
      <c r="O24" s="8" t="s">
        <v>22</v>
      </c>
      <c r="P24" s="8" t="s">
        <v>46</v>
      </c>
      <c r="Q24" s="3">
        <f t="shared" si="0"/>
        <v>0.2128512090194333</v>
      </c>
      <c r="R24" s="8" t="str" cm="1">
        <f t="array" ref="R24">_xlfn.IFS(Q24&gt;40%,"Alta",Q24&gt;20%,"Média",Q24&lt;20%,"Baixa")</f>
        <v>Média</v>
      </c>
    </row>
    <row r="25" spans="1:18" x14ac:dyDescent="0.25">
      <c r="A25" s="5">
        <v>672</v>
      </c>
      <c r="B25" s="6">
        <v>45763</v>
      </c>
      <c r="C25" s="8" t="s">
        <v>34</v>
      </c>
      <c r="D25" s="8" t="s">
        <v>45</v>
      </c>
      <c r="E25" s="8" t="s">
        <v>37</v>
      </c>
      <c r="F25" s="5">
        <v>6136</v>
      </c>
      <c r="G25" s="8" t="s">
        <v>19</v>
      </c>
      <c r="H25" s="8" t="s">
        <v>31</v>
      </c>
      <c r="I25" s="5">
        <v>19</v>
      </c>
      <c r="J25" s="10">
        <v>4218</v>
      </c>
      <c r="K25" s="10">
        <v>80142</v>
      </c>
      <c r="L25" s="10">
        <v>47705.86</v>
      </c>
      <c r="M25" s="10">
        <v>32436.14</v>
      </c>
      <c r="N25" s="8" t="s">
        <v>21</v>
      </c>
      <c r="O25" s="8" t="s">
        <v>39</v>
      </c>
      <c r="P25" s="8" t="s">
        <v>40</v>
      </c>
      <c r="Q25" s="3">
        <f t="shared" si="0"/>
        <v>0.4047333483067555</v>
      </c>
      <c r="R25" s="8" t="str" cm="1">
        <f t="array" ref="R25">_xlfn.IFS(Q25&gt;40%,"Alta",Q25&gt;20%,"Média",Q25&lt;20%,"Baixa")</f>
        <v>Alta</v>
      </c>
    </row>
    <row r="26" spans="1:18" x14ac:dyDescent="0.25">
      <c r="A26" s="5">
        <v>729</v>
      </c>
      <c r="B26" s="6">
        <v>45739</v>
      </c>
      <c r="C26" s="8" t="s">
        <v>34</v>
      </c>
      <c r="D26" s="8" t="s">
        <v>45</v>
      </c>
      <c r="E26" s="8" t="s">
        <v>18</v>
      </c>
      <c r="F26" s="5">
        <v>1783</v>
      </c>
      <c r="G26" s="8" t="s">
        <v>26</v>
      </c>
      <c r="H26" s="8" t="s">
        <v>38</v>
      </c>
      <c r="I26" s="5">
        <v>19</v>
      </c>
      <c r="J26" s="10">
        <v>4186</v>
      </c>
      <c r="K26" s="10">
        <v>79534</v>
      </c>
      <c r="L26" s="10">
        <v>37023.33</v>
      </c>
      <c r="M26" s="10">
        <v>42510.67</v>
      </c>
      <c r="N26" s="8" t="s">
        <v>28</v>
      </c>
      <c r="O26" s="8" t="s">
        <v>33</v>
      </c>
      <c r="P26" s="8" t="s">
        <v>40</v>
      </c>
      <c r="Q26" s="3">
        <f t="shared" si="0"/>
        <v>0.53449681897050316</v>
      </c>
      <c r="R26" s="8" t="str" cm="1">
        <f t="array" ref="R26">_xlfn.IFS(Q26&gt;40%,"Alta",Q26&gt;20%,"Média",Q26&lt;20%,"Baixa")</f>
        <v>Alta</v>
      </c>
    </row>
    <row r="27" spans="1:18" x14ac:dyDescent="0.25">
      <c r="A27" s="5">
        <v>684</v>
      </c>
      <c r="B27" s="6">
        <v>45690</v>
      </c>
      <c r="C27" s="8" t="s">
        <v>24</v>
      </c>
      <c r="D27" s="8" t="s">
        <v>42</v>
      </c>
      <c r="E27" s="8" t="s">
        <v>37</v>
      </c>
      <c r="F27" s="5">
        <v>1184</v>
      </c>
      <c r="G27" s="8" t="s">
        <v>26</v>
      </c>
      <c r="H27" s="8" t="s">
        <v>20</v>
      </c>
      <c r="I27" s="5">
        <v>16</v>
      </c>
      <c r="J27" s="10">
        <v>4936</v>
      </c>
      <c r="K27" s="10">
        <v>78976</v>
      </c>
      <c r="L27" s="10">
        <v>32446.5</v>
      </c>
      <c r="M27" s="10">
        <v>46529.5</v>
      </c>
      <c r="N27" s="8" t="s">
        <v>28</v>
      </c>
      <c r="O27" s="8" t="s">
        <v>39</v>
      </c>
      <c r="P27" s="8" t="s">
        <v>44</v>
      </c>
      <c r="Q27" s="3">
        <f t="shared" si="0"/>
        <v>0.58915999797406804</v>
      </c>
      <c r="R27" s="8" t="str" cm="1">
        <f t="array" ref="R27">_xlfn.IFS(Q27&gt;40%,"Alta",Q27&gt;20%,"Média",Q27&lt;20%,"Baixa")</f>
        <v>Alta</v>
      </c>
    </row>
    <row r="28" spans="1:18" x14ac:dyDescent="0.25">
      <c r="A28" s="5">
        <v>149</v>
      </c>
      <c r="B28" s="6">
        <v>45817</v>
      </c>
      <c r="C28" s="8" t="s">
        <v>47</v>
      </c>
      <c r="D28" s="8" t="s">
        <v>17</v>
      </c>
      <c r="E28" s="8" t="s">
        <v>18</v>
      </c>
      <c r="F28" s="5">
        <v>2759</v>
      </c>
      <c r="G28" s="8" t="s">
        <v>36</v>
      </c>
      <c r="H28" s="8" t="s">
        <v>27</v>
      </c>
      <c r="I28" s="5">
        <v>19</v>
      </c>
      <c r="J28" s="10">
        <v>4127</v>
      </c>
      <c r="K28" s="10">
        <v>78413</v>
      </c>
      <c r="L28" s="10">
        <v>62595.94</v>
      </c>
      <c r="M28" s="10">
        <v>15817.06</v>
      </c>
      <c r="N28" s="8" t="s">
        <v>28</v>
      </c>
      <c r="O28" s="8" t="s">
        <v>39</v>
      </c>
      <c r="P28" s="8" t="s">
        <v>23</v>
      </c>
      <c r="Q28" s="3">
        <f t="shared" si="0"/>
        <v>0.20171476668409574</v>
      </c>
      <c r="R28" s="8" t="str" cm="1">
        <f t="array" ref="R28">_xlfn.IFS(Q28&gt;40%,"Alta",Q28&gt;20%,"Média",Q28&lt;20%,"Baixa")</f>
        <v>Média</v>
      </c>
    </row>
    <row r="29" spans="1:18" x14ac:dyDescent="0.25">
      <c r="A29" s="5">
        <v>471</v>
      </c>
      <c r="B29" s="6">
        <v>45772</v>
      </c>
      <c r="C29" s="8" t="s">
        <v>34</v>
      </c>
      <c r="D29" s="8" t="s">
        <v>30</v>
      </c>
      <c r="E29" s="8" t="s">
        <v>37</v>
      </c>
      <c r="F29" s="5">
        <v>5972</v>
      </c>
      <c r="G29" s="8" t="s">
        <v>26</v>
      </c>
      <c r="H29" s="8" t="s">
        <v>43</v>
      </c>
      <c r="I29" s="5">
        <v>20</v>
      </c>
      <c r="J29" s="10">
        <v>3889</v>
      </c>
      <c r="K29" s="10">
        <v>77780</v>
      </c>
      <c r="L29" s="10">
        <v>41712.93</v>
      </c>
      <c r="M29" s="10">
        <v>36067.07</v>
      </c>
      <c r="N29" s="8" t="s">
        <v>21</v>
      </c>
      <c r="O29" s="8" t="s">
        <v>22</v>
      </c>
      <c r="P29" s="8" t="s">
        <v>46</v>
      </c>
      <c r="Q29" s="3">
        <f t="shared" si="0"/>
        <v>0.46370622267935202</v>
      </c>
      <c r="R29" s="8" t="str" cm="1">
        <f t="array" ref="R29">_xlfn.IFS(Q29&gt;40%,"Alta",Q29&gt;20%,"Média",Q29&lt;20%,"Baixa")</f>
        <v>Alta</v>
      </c>
    </row>
    <row r="30" spans="1:18" x14ac:dyDescent="0.25">
      <c r="A30" s="5">
        <v>337</v>
      </c>
      <c r="B30" s="6">
        <v>45794</v>
      </c>
      <c r="C30" s="8" t="s">
        <v>34</v>
      </c>
      <c r="D30" s="8" t="s">
        <v>30</v>
      </c>
      <c r="E30" s="8" t="s">
        <v>18</v>
      </c>
      <c r="F30" s="5">
        <v>9875</v>
      </c>
      <c r="G30" s="8" t="s">
        <v>26</v>
      </c>
      <c r="H30" s="8" t="s">
        <v>27</v>
      </c>
      <c r="I30" s="5">
        <v>18</v>
      </c>
      <c r="J30" s="10">
        <v>4281</v>
      </c>
      <c r="K30" s="10">
        <v>77058</v>
      </c>
      <c r="L30" s="10">
        <v>48612.33</v>
      </c>
      <c r="M30" s="10">
        <v>28445.67</v>
      </c>
      <c r="N30" s="8" t="s">
        <v>21</v>
      </c>
      <c r="O30" s="8" t="s">
        <v>22</v>
      </c>
      <c r="P30" s="8" t="s">
        <v>46</v>
      </c>
      <c r="Q30" s="3">
        <f t="shared" si="0"/>
        <v>0.36914622751693527</v>
      </c>
      <c r="R30" s="8" t="str" cm="1">
        <f t="array" ref="R30">_xlfn.IFS(Q30&gt;40%,"Alta",Q30&gt;20%,"Média",Q30&lt;20%,"Baixa")</f>
        <v>Média</v>
      </c>
    </row>
    <row r="31" spans="1:18" x14ac:dyDescent="0.25">
      <c r="A31" s="5">
        <v>647</v>
      </c>
      <c r="B31" s="6">
        <v>45819</v>
      </c>
      <c r="C31" s="8" t="s">
        <v>34</v>
      </c>
      <c r="D31" s="8" t="s">
        <v>30</v>
      </c>
      <c r="E31" s="8" t="s">
        <v>41</v>
      </c>
      <c r="F31" s="5">
        <v>4563</v>
      </c>
      <c r="G31" s="8" t="s">
        <v>19</v>
      </c>
      <c r="H31" s="8" t="s">
        <v>20</v>
      </c>
      <c r="I31" s="5">
        <v>17</v>
      </c>
      <c r="J31" s="10">
        <v>4530</v>
      </c>
      <c r="K31" s="10">
        <v>77010</v>
      </c>
      <c r="L31" s="10">
        <v>42122.66</v>
      </c>
      <c r="M31" s="10">
        <v>34887.339999999997</v>
      </c>
      <c r="N31" s="8" t="s">
        <v>21</v>
      </c>
      <c r="O31" s="8" t="s">
        <v>39</v>
      </c>
      <c r="P31" s="8" t="s">
        <v>44</v>
      </c>
      <c r="Q31" s="3">
        <f t="shared" si="0"/>
        <v>0.45302350344111147</v>
      </c>
      <c r="R31" s="8" t="str" cm="1">
        <f t="array" ref="R31">_xlfn.IFS(Q31&gt;40%,"Alta",Q31&gt;20%,"Média",Q31&lt;20%,"Baixa")</f>
        <v>Alta</v>
      </c>
    </row>
    <row r="32" spans="1:18" x14ac:dyDescent="0.25">
      <c r="A32" s="5">
        <v>131</v>
      </c>
      <c r="B32" s="6">
        <v>45686</v>
      </c>
      <c r="C32" s="8" t="s">
        <v>16</v>
      </c>
      <c r="D32" s="8" t="s">
        <v>42</v>
      </c>
      <c r="E32" s="8" t="s">
        <v>41</v>
      </c>
      <c r="F32" s="5">
        <v>8280</v>
      </c>
      <c r="G32" s="8" t="s">
        <v>36</v>
      </c>
      <c r="H32" s="8" t="s">
        <v>38</v>
      </c>
      <c r="I32" s="5">
        <v>20</v>
      </c>
      <c r="J32" s="10">
        <v>3848</v>
      </c>
      <c r="K32" s="10">
        <v>76960</v>
      </c>
      <c r="L32" s="10">
        <v>50476.87</v>
      </c>
      <c r="M32" s="10">
        <v>26483.13</v>
      </c>
      <c r="N32" s="8" t="s">
        <v>28</v>
      </c>
      <c r="O32" s="8" t="s">
        <v>33</v>
      </c>
      <c r="P32" s="8" t="s">
        <v>40</v>
      </c>
      <c r="Q32" s="3">
        <f t="shared" si="0"/>
        <v>0.34411551455301459</v>
      </c>
      <c r="R32" s="8" t="str" cm="1">
        <f t="array" ref="R32">_xlfn.IFS(Q32&gt;40%,"Alta",Q32&gt;20%,"Média",Q32&lt;20%,"Baixa")</f>
        <v>Média</v>
      </c>
    </row>
    <row r="33" spans="1:18" x14ac:dyDescent="0.25">
      <c r="A33" s="5">
        <v>64</v>
      </c>
      <c r="B33" s="6">
        <v>45661</v>
      </c>
      <c r="C33" s="8" t="s">
        <v>16</v>
      </c>
      <c r="D33" s="8" t="s">
        <v>30</v>
      </c>
      <c r="E33" s="8" t="s">
        <v>37</v>
      </c>
      <c r="F33" s="5">
        <v>6317</v>
      </c>
      <c r="G33" s="8" t="s">
        <v>26</v>
      </c>
      <c r="H33" s="8" t="s">
        <v>43</v>
      </c>
      <c r="I33" s="5">
        <v>17</v>
      </c>
      <c r="J33" s="10">
        <v>4508</v>
      </c>
      <c r="K33" s="10">
        <v>76636</v>
      </c>
      <c r="L33" s="10">
        <v>34314.6</v>
      </c>
      <c r="M33" s="10">
        <v>42321.4</v>
      </c>
      <c r="N33" s="8" t="s">
        <v>32</v>
      </c>
      <c r="O33" s="8" t="s">
        <v>39</v>
      </c>
      <c r="P33" s="8" t="s">
        <v>23</v>
      </c>
      <c r="Q33" s="3">
        <f t="shared" si="0"/>
        <v>0.55223915653217814</v>
      </c>
      <c r="R33" s="8" t="str" cm="1">
        <f t="array" ref="R33">_xlfn.IFS(Q33&gt;40%,"Alta",Q33&gt;20%,"Média",Q33&lt;20%,"Baixa")</f>
        <v>Alta</v>
      </c>
    </row>
    <row r="34" spans="1:18" x14ac:dyDescent="0.25">
      <c r="A34" s="5">
        <v>830</v>
      </c>
      <c r="B34" s="6">
        <v>45705</v>
      </c>
      <c r="C34" s="8" t="s">
        <v>34</v>
      </c>
      <c r="D34" s="8" t="s">
        <v>42</v>
      </c>
      <c r="E34" s="8" t="s">
        <v>37</v>
      </c>
      <c r="F34" s="5">
        <v>1223</v>
      </c>
      <c r="G34" s="8" t="s">
        <v>26</v>
      </c>
      <c r="H34" s="8" t="s">
        <v>31</v>
      </c>
      <c r="I34" s="5">
        <v>19</v>
      </c>
      <c r="J34" s="10">
        <v>4010</v>
      </c>
      <c r="K34" s="10">
        <v>76190</v>
      </c>
      <c r="L34" s="10">
        <v>54008.03</v>
      </c>
      <c r="M34" s="10">
        <v>22181.97</v>
      </c>
      <c r="N34" s="8" t="s">
        <v>32</v>
      </c>
      <c r="O34" s="8" t="s">
        <v>22</v>
      </c>
      <c r="P34" s="8" t="s">
        <v>23</v>
      </c>
      <c r="Q34" s="3">
        <f t="shared" si="0"/>
        <v>0.29114017587609925</v>
      </c>
      <c r="R34" s="8" t="str" cm="1">
        <f t="array" ref="R34">_xlfn.IFS(Q34&gt;40%,"Alta",Q34&gt;20%,"Média",Q34&lt;20%,"Baixa")</f>
        <v>Média</v>
      </c>
    </row>
    <row r="35" spans="1:18" x14ac:dyDescent="0.25">
      <c r="A35" s="5">
        <v>754</v>
      </c>
      <c r="B35" s="6">
        <v>45788</v>
      </c>
      <c r="C35" s="8" t="s">
        <v>24</v>
      </c>
      <c r="D35" s="8" t="s">
        <v>17</v>
      </c>
      <c r="E35" s="8" t="s">
        <v>25</v>
      </c>
      <c r="F35" s="5">
        <v>2115</v>
      </c>
      <c r="G35" s="8" t="s">
        <v>26</v>
      </c>
      <c r="H35" s="8" t="s">
        <v>31</v>
      </c>
      <c r="I35" s="5">
        <v>20</v>
      </c>
      <c r="J35" s="10">
        <v>3769</v>
      </c>
      <c r="K35" s="10">
        <v>75380</v>
      </c>
      <c r="L35" s="10">
        <v>34284.18</v>
      </c>
      <c r="M35" s="10">
        <v>41095.82</v>
      </c>
      <c r="N35" s="8" t="s">
        <v>32</v>
      </c>
      <c r="O35" s="8" t="s">
        <v>33</v>
      </c>
      <c r="P35" s="8" t="s">
        <v>23</v>
      </c>
      <c r="Q35" s="3">
        <f t="shared" si="0"/>
        <v>0.54518201114353937</v>
      </c>
      <c r="R35" s="8" t="str" cm="1">
        <f t="array" ref="R35">_xlfn.IFS(Q35&gt;40%,"Alta",Q35&gt;20%,"Média",Q35&lt;20%,"Baixa")</f>
        <v>Alta</v>
      </c>
    </row>
    <row r="36" spans="1:18" x14ac:dyDescent="0.25">
      <c r="A36" s="5">
        <v>882</v>
      </c>
      <c r="B36" s="6">
        <v>45764</v>
      </c>
      <c r="C36" s="8" t="s">
        <v>34</v>
      </c>
      <c r="D36" s="8" t="s">
        <v>42</v>
      </c>
      <c r="E36" s="8" t="s">
        <v>18</v>
      </c>
      <c r="F36" s="5">
        <v>7374</v>
      </c>
      <c r="G36" s="8" t="s">
        <v>19</v>
      </c>
      <c r="H36" s="8" t="s">
        <v>27</v>
      </c>
      <c r="I36" s="5">
        <v>17</v>
      </c>
      <c r="J36" s="10">
        <v>4428</v>
      </c>
      <c r="K36" s="10">
        <v>75276</v>
      </c>
      <c r="L36" s="10">
        <v>42147.78</v>
      </c>
      <c r="M36" s="10">
        <v>33128.22</v>
      </c>
      <c r="N36" s="8" t="s">
        <v>28</v>
      </c>
      <c r="O36" s="8" t="s">
        <v>33</v>
      </c>
      <c r="P36" s="8" t="s">
        <v>23</v>
      </c>
      <c r="Q36" s="3">
        <f t="shared" si="0"/>
        <v>0.4400900685477443</v>
      </c>
      <c r="R36" s="8" t="str" cm="1">
        <f t="array" ref="R36">_xlfn.IFS(Q36&gt;40%,"Alta",Q36&gt;20%,"Média",Q36&lt;20%,"Baixa")</f>
        <v>Alta</v>
      </c>
    </row>
    <row r="37" spans="1:18" x14ac:dyDescent="0.25">
      <c r="A37" s="5">
        <v>100</v>
      </c>
      <c r="B37" s="6">
        <v>45742</v>
      </c>
      <c r="C37" s="8" t="s">
        <v>16</v>
      </c>
      <c r="D37" s="8" t="s">
        <v>17</v>
      </c>
      <c r="E37" s="8" t="s">
        <v>37</v>
      </c>
      <c r="F37" s="5">
        <v>9758</v>
      </c>
      <c r="G37" s="8" t="s">
        <v>36</v>
      </c>
      <c r="H37" s="8" t="s">
        <v>38</v>
      </c>
      <c r="I37" s="5">
        <v>16</v>
      </c>
      <c r="J37" s="10">
        <v>4699</v>
      </c>
      <c r="K37" s="10">
        <v>75184</v>
      </c>
      <c r="L37" s="10">
        <v>54426.09</v>
      </c>
      <c r="M37" s="10">
        <v>20757.91</v>
      </c>
      <c r="N37" s="8" t="s">
        <v>21</v>
      </c>
      <c r="O37" s="8" t="s">
        <v>22</v>
      </c>
      <c r="P37" s="8" t="s">
        <v>40</v>
      </c>
      <c r="Q37" s="3">
        <f t="shared" si="0"/>
        <v>0.27609478080442645</v>
      </c>
      <c r="R37" s="8" t="str" cm="1">
        <f t="array" ref="R37">_xlfn.IFS(Q37&gt;40%,"Alta",Q37&gt;20%,"Média",Q37&lt;20%,"Baixa")</f>
        <v>Média</v>
      </c>
    </row>
    <row r="38" spans="1:18" x14ac:dyDescent="0.25">
      <c r="A38" s="5">
        <v>746</v>
      </c>
      <c r="B38" s="6">
        <v>45819</v>
      </c>
      <c r="C38" s="8" t="s">
        <v>16</v>
      </c>
      <c r="D38" s="8" t="s">
        <v>35</v>
      </c>
      <c r="E38" s="8" t="s">
        <v>25</v>
      </c>
      <c r="F38" s="5">
        <v>4121</v>
      </c>
      <c r="G38" s="8" t="s">
        <v>26</v>
      </c>
      <c r="H38" s="8" t="s">
        <v>31</v>
      </c>
      <c r="I38" s="5">
        <v>17</v>
      </c>
      <c r="J38" s="10">
        <v>4388</v>
      </c>
      <c r="K38" s="10">
        <v>74596</v>
      </c>
      <c r="L38" s="10">
        <v>56869.52</v>
      </c>
      <c r="M38" s="10">
        <v>17726.48</v>
      </c>
      <c r="N38" s="8" t="s">
        <v>32</v>
      </c>
      <c r="O38" s="8" t="s">
        <v>39</v>
      </c>
      <c r="P38" s="8" t="s">
        <v>46</v>
      </c>
      <c r="Q38" s="3">
        <f t="shared" si="0"/>
        <v>0.23763311705721485</v>
      </c>
      <c r="R38" s="8" t="str" cm="1">
        <f t="array" ref="R38">_xlfn.IFS(Q38&gt;40%,"Alta",Q38&gt;20%,"Média",Q38&lt;20%,"Baixa")</f>
        <v>Média</v>
      </c>
    </row>
    <row r="39" spans="1:18" x14ac:dyDescent="0.25">
      <c r="A39" s="5">
        <v>480</v>
      </c>
      <c r="B39" s="6">
        <v>45801</v>
      </c>
      <c r="C39" s="8" t="s">
        <v>24</v>
      </c>
      <c r="D39" s="8" t="s">
        <v>30</v>
      </c>
      <c r="E39" s="8" t="s">
        <v>41</v>
      </c>
      <c r="F39" s="5">
        <v>6789</v>
      </c>
      <c r="G39" s="8" t="s">
        <v>19</v>
      </c>
      <c r="H39" s="8" t="s">
        <v>31</v>
      </c>
      <c r="I39" s="5">
        <v>18</v>
      </c>
      <c r="J39" s="10">
        <v>4140</v>
      </c>
      <c r="K39" s="10">
        <v>74520</v>
      </c>
      <c r="L39" s="10">
        <v>43463.56</v>
      </c>
      <c r="M39" s="10">
        <v>31056.44</v>
      </c>
      <c r="N39" s="8" t="s">
        <v>21</v>
      </c>
      <c r="O39" s="8" t="s">
        <v>22</v>
      </c>
      <c r="P39" s="8" t="s">
        <v>44</v>
      </c>
      <c r="Q39" s="3">
        <f t="shared" si="0"/>
        <v>0.41675308641975306</v>
      </c>
      <c r="R39" s="8" t="str" cm="1">
        <f t="array" ref="R39">_xlfn.IFS(Q39&gt;40%,"Alta",Q39&gt;20%,"Média",Q39&lt;20%,"Baixa")</f>
        <v>Alta</v>
      </c>
    </row>
    <row r="40" spans="1:18" x14ac:dyDescent="0.25">
      <c r="A40" s="5">
        <v>767</v>
      </c>
      <c r="B40" s="6">
        <v>45690</v>
      </c>
      <c r="C40" s="8" t="s">
        <v>34</v>
      </c>
      <c r="D40" s="8" t="s">
        <v>17</v>
      </c>
      <c r="E40" s="8" t="s">
        <v>25</v>
      </c>
      <c r="F40" s="5">
        <v>2348</v>
      </c>
      <c r="G40" s="8" t="s">
        <v>19</v>
      </c>
      <c r="H40" s="8" t="s">
        <v>27</v>
      </c>
      <c r="I40" s="5">
        <v>17</v>
      </c>
      <c r="J40" s="10">
        <v>4362</v>
      </c>
      <c r="K40" s="10">
        <v>74154</v>
      </c>
      <c r="L40" s="10">
        <v>49726.73</v>
      </c>
      <c r="M40" s="10">
        <v>24427.27</v>
      </c>
      <c r="N40" s="8" t="s">
        <v>28</v>
      </c>
      <c r="O40" s="8" t="s">
        <v>39</v>
      </c>
      <c r="P40" s="8" t="s">
        <v>46</v>
      </c>
      <c r="Q40" s="3">
        <f t="shared" si="0"/>
        <v>0.32941270868732636</v>
      </c>
      <c r="R40" s="8" t="str" cm="1">
        <f t="array" ref="R40">_xlfn.IFS(Q40&gt;40%,"Alta",Q40&gt;20%,"Média",Q40&lt;20%,"Baixa")</f>
        <v>Média</v>
      </c>
    </row>
    <row r="41" spans="1:18" x14ac:dyDescent="0.25">
      <c r="A41" s="5">
        <v>707</v>
      </c>
      <c r="B41" s="6">
        <v>45670</v>
      </c>
      <c r="C41" s="8" t="s">
        <v>47</v>
      </c>
      <c r="D41" s="8" t="s">
        <v>17</v>
      </c>
      <c r="E41" s="8" t="s">
        <v>41</v>
      </c>
      <c r="F41" s="5">
        <v>2375</v>
      </c>
      <c r="G41" s="8" t="s">
        <v>36</v>
      </c>
      <c r="H41" s="8" t="s">
        <v>43</v>
      </c>
      <c r="I41" s="5">
        <v>20</v>
      </c>
      <c r="J41" s="10">
        <v>3703</v>
      </c>
      <c r="K41" s="10">
        <v>74060</v>
      </c>
      <c r="L41" s="10">
        <v>41338.71</v>
      </c>
      <c r="M41" s="10">
        <v>32721.29</v>
      </c>
      <c r="N41" s="8" t="s">
        <v>21</v>
      </c>
      <c r="O41" s="8" t="s">
        <v>39</v>
      </c>
      <c r="P41" s="8" t="s">
        <v>40</v>
      </c>
      <c r="Q41" s="3">
        <f t="shared" si="0"/>
        <v>0.44182136105860115</v>
      </c>
      <c r="R41" s="8" t="str" cm="1">
        <f t="array" ref="R41">_xlfn.IFS(Q41&gt;40%,"Alta",Q41&gt;20%,"Média",Q41&lt;20%,"Baixa")</f>
        <v>Alta</v>
      </c>
    </row>
    <row r="42" spans="1:18" x14ac:dyDescent="0.25">
      <c r="A42" s="5">
        <v>192</v>
      </c>
      <c r="B42" s="6">
        <v>45684</v>
      </c>
      <c r="C42" s="8" t="s">
        <v>24</v>
      </c>
      <c r="D42" s="8" t="s">
        <v>30</v>
      </c>
      <c r="E42" s="8" t="s">
        <v>25</v>
      </c>
      <c r="F42" s="5">
        <v>3053</v>
      </c>
      <c r="G42" s="8" t="s">
        <v>19</v>
      </c>
      <c r="H42" s="8" t="s">
        <v>20</v>
      </c>
      <c r="I42" s="5">
        <v>15</v>
      </c>
      <c r="J42" s="10">
        <v>4931</v>
      </c>
      <c r="K42" s="10">
        <v>73965</v>
      </c>
      <c r="L42" s="10">
        <v>45204.12</v>
      </c>
      <c r="M42" s="10">
        <v>28760.880000000001</v>
      </c>
      <c r="N42" s="8" t="s">
        <v>28</v>
      </c>
      <c r="O42" s="8" t="s">
        <v>22</v>
      </c>
      <c r="P42" s="8" t="s">
        <v>44</v>
      </c>
      <c r="Q42" s="3">
        <f t="shared" si="0"/>
        <v>0.38884445345771651</v>
      </c>
      <c r="R42" s="8" t="str" cm="1">
        <f t="array" ref="R42">_xlfn.IFS(Q42&gt;40%,"Alta",Q42&gt;20%,"Média",Q42&lt;20%,"Baixa")</f>
        <v>Média</v>
      </c>
    </row>
    <row r="43" spans="1:18" x14ac:dyDescent="0.25">
      <c r="A43" s="5">
        <v>564</v>
      </c>
      <c r="B43" s="6">
        <v>45759</v>
      </c>
      <c r="C43" s="8" t="s">
        <v>16</v>
      </c>
      <c r="D43" s="8" t="s">
        <v>35</v>
      </c>
      <c r="E43" s="8" t="s">
        <v>18</v>
      </c>
      <c r="F43" s="5">
        <v>2624</v>
      </c>
      <c r="G43" s="8" t="s">
        <v>19</v>
      </c>
      <c r="H43" s="8" t="s">
        <v>31</v>
      </c>
      <c r="I43" s="5">
        <v>16</v>
      </c>
      <c r="J43" s="10">
        <v>4615</v>
      </c>
      <c r="K43" s="10">
        <v>73840</v>
      </c>
      <c r="L43" s="10">
        <v>51958.19</v>
      </c>
      <c r="M43" s="10">
        <v>21881.81</v>
      </c>
      <c r="N43" s="8" t="s">
        <v>32</v>
      </c>
      <c r="O43" s="8" t="s">
        <v>22</v>
      </c>
      <c r="P43" s="8" t="s">
        <v>29</v>
      </c>
      <c r="Q43" s="3">
        <f t="shared" si="0"/>
        <v>0.29634087215601301</v>
      </c>
      <c r="R43" s="8" t="str" cm="1">
        <f t="array" ref="R43">_xlfn.IFS(Q43&gt;40%,"Alta",Q43&gt;20%,"Média",Q43&lt;20%,"Baixa")</f>
        <v>Média</v>
      </c>
    </row>
    <row r="44" spans="1:18" x14ac:dyDescent="0.25">
      <c r="A44" s="5">
        <v>683</v>
      </c>
      <c r="B44" s="6">
        <v>45769</v>
      </c>
      <c r="C44" s="8" t="s">
        <v>16</v>
      </c>
      <c r="D44" s="8" t="s">
        <v>42</v>
      </c>
      <c r="E44" s="8" t="s">
        <v>25</v>
      </c>
      <c r="F44" s="5">
        <v>6589</v>
      </c>
      <c r="G44" s="8" t="s">
        <v>26</v>
      </c>
      <c r="H44" s="8" t="s">
        <v>43</v>
      </c>
      <c r="I44" s="5">
        <v>20</v>
      </c>
      <c r="J44" s="10">
        <v>3691</v>
      </c>
      <c r="K44" s="10">
        <v>73820</v>
      </c>
      <c r="L44" s="10">
        <v>46469.48</v>
      </c>
      <c r="M44" s="10">
        <v>27350.52</v>
      </c>
      <c r="N44" s="8" t="s">
        <v>32</v>
      </c>
      <c r="O44" s="8" t="s">
        <v>39</v>
      </c>
      <c r="P44" s="8" t="s">
        <v>46</v>
      </c>
      <c r="Q44" s="3">
        <f t="shared" si="0"/>
        <v>0.37050284475751827</v>
      </c>
      <c r="R44" s="8" t="str" cm="1">
        <f t="array" ref="R44">_xlfn.IFS(Q44&gt;40%,"Alta",Q44&gt;20%,"Média",Q44&lt;20%,"Baixa")</f>
        <v>Média</v>
      </c>
    </row>
    <row r="45" spans="1:18" x14ac:dyDescent="0.25">
      <c r="A45" s="5">
        <v>610</v>
      </c>
      <c r="B45" s="6">
        <v>45806</v>
      </c>
      <c r="C45" s="8" t="s">
        <v>47</v>
      </c>
      <c r="D45" s="8" t="s">
        <v>35</v>
      </c>
      <c r="E45" s="8" t="s">
        <v>18</v>
      </c>
      <c r="F45" s="5">
        <v>6505</v>
      </c>
      <c r="G45" s="8" t="s">
        <v>19</v>
      </c>
      <c r="H45" s="8" t="s">
        <v>43</v>
      </c>
      <c r="I45" s="5">
        <v>18</v>
      </c>
      <c r="J45" s="10">
        <v>4072</v>
      </c>
      <c r="K45" s="10">
        <v>73296</v>
      </c>
      <c r="L45" s="10">
        <v>39408.54</v>
      </c>
      <c r="M45" s="10">
        <v>33887.46</v>
      </c>
      <c r="N45" s="8" t="s">
        <v>21</v>
      </c>
      <c r="O45" s="8" t="s">
        <v>33</v>
      </c>
      <c r="P45" s="8" t="s">
        <v>29</v>
      </c>
      <c r="Q45" s="3">
        <f t="shared" si="0"/>
        <v>0.46233709888670593</v>
      </c>
      <c r="R45" s="8" t="str" cm="1">
        <f t="array" ref="R45">_xlfn.IFS(Q45&gt;40%,"Alta",Q45&gt;20%,"Média",Q45&lt;20%,"Baixa")</f>
        <v>Alta</v>
      </c>
    </row>
    <row r="46" spans="1:18" x14ac:dyDescent="0.25">
      <c r="A46" s="5">
        <v>962</v>
      </c>
      <c r="B46" s="6">
        <v>45836</v>
      </c>
      <c r="C46" s="8" t="s">
        <v>47</v>
      </c>
      <c r="D46" s="8" t="s">
        <v>17</v>
      </c>
      <c r="E46" s="8" t="s">
        <v>41</v>
      </c>
      <c r="F46" s="5">
        <v>6031</v>
      </c>
      <c r="G46" s="8" t="s">
        <v>19</v>
      </c>
      <c r="H46" s="8" t="s">
        <v>43</v>
      </c>
      <c r="I46" s="5">
        <v>20</v>
      </c>
      <c r="J46" s="10">
        <v>3662</v>
      </c>
      <c r="K46" s="10">
        <v>73240</v>
      </c>
      <c r="L46" s="10">
        <v>48713.25</v>
      </c>
      <c r="M46" s="10">
        <v>24526.75</v>
      </c>
      <c r="N46" s="8" t="s">
        <v>32</v>
      </c>
      <c r="O46" s="8" t="s">
        <v>39</v>
      </c>
      <c r="P46" s="8" t="s">
        <v>44</v>
      </c>
      <c r="Q46" s="3">
        <f t="shared" si="0"/>
        <v>0.33488189513926814</v>
      </c>
      <c r="R46" s="8" t="str" cm="1">
        <f t="array" ref="R46">_xlfn.IFS(Q46&gt;40%,"Alta",Q46&gt;20%,"Média",Q46&lt;20%,"Baixa")</f>
        <v>Média</v>
      </c>
    </row>
    <row r="47" spans="1:18" x14ac:dyDescent="0.25">
      <c r="A47" s="5">
        <v>551</v>
      </c>
      <c r="B47" s="6">
        <v>45796</v>
      </c>
      <c r="C47" s="8" t="s">
        <v>47</v>
      </c>
      <c r="D47" s="8" t="s">
        <v>45</v>
      </c>
      <c r="E47" s="8" t="s">
        <v>25</v>
      </c>
      <c r="F47" s="5">
        <v>3618</v>
      </c>
      <c r="G47" s="8" t="s">
        <v>36</v>
      </c>
      <c r="H47" s="8" t="s">
        <v>38</v>
      </c>
      <c r="I47" s="5">
        <v>19</v>
      </c>
      <c r="J47" s="10">
        <v>3854</v>
      </c>
      <c r="K47" s="10">
        <v>73226</v>
      </c>
      <c r="L47" s="10">
        <v>48578.03</v>
      </c>
      <c r="M47" s="10">
        <v>24647.97</v>
      </c>
      <c r="N47" s="8" t="s">
        <v>32</v>
      </c>
      <c r="O47" s="8" t="s">
        <v>33</v>
      </c>
      <c r="P47" s="8" t="s">
        <v>29</v>
      </c>
      <c r="Q47" s="3">
        <f t="shared" si="0"/>
        <v>0.3366013437849944</v>
      </c>
      <c r="R47" s="8" t="str" cm="1">
        <f t="array" ref="R47">_xlfn.IFS(Q47&gt;40%,"Alta",Q47&gt;20%,"Média",Q47&lt;20%,"Baixa")</f>
        <v>Média</v>
      </c>
    </row>
    <row r="48" spans="1:18" x14ac:dyDescent="0.25">
      <c r="A48" s="5">
        <v>940</v>
      </c>
      <c r="B48" s="6">
        <v>45693</v>
      </c>
      <c r="C48" s="8" t="s">
        <v>16</v>
      </c>
      <c r="D48" s="8" t="s">
        <v>42</v>
      </c>
      <c r="E48" s="8" t="s">
        <v>25</v>
      </c>
      <c r="F48" s="5">
        <v>8699</v>
      </c>
      <c r="G48" s="8" t="s">
        <v>26</v>
      </c>
      <c r="H48" s="8" t="s">
        <v>43</v>
      </c>
      <c r="I48" s="5">
        <v>19</v>
      </c>
      <c r="J48" s="10">
        <v>3848</v>
      </c>
      <c r="K48" s="10">
        <v>73112</v>
      </c>
      <c r="L48" s="10">
        <v>48560.09</v>
      </c>
      <c r="M48" s="10">
        <v>24551.91</v>
      </c>
      <c r="N48" s="8" t="s">
        <v>32</v>
      </c>
      <c r="O48" s="8" t="s">
        <v>22</v>
      </c>
      <c r="P48" s="8" t="s">
        <v>29</v>
      </c>
      <c r="Q48" s="3">
        <f t="shared" si="0"/>
        <v>0.33581231535178901</v>
      </c>
      <c r="R48" s="8" t="str" cm="1">
        <f t="array" ref="R48">_xlfn.IFS(Q48&gt;40%,"Alta",Q48&gt;20%,"Média",Q48&lt;20%,"Baixa")</f>
        <v>Média</v>
      </c>
    </row>
    <row r="49" spans="1:18" x14ac:dyDescent="0.25">
      <c r="A49" s="5">
        <v>584</v>
      </c>
      <c r="B49" s="6">
        <v>45788</v>
      </c>
      <c r="C49" s="8" t="s">
        <v>24</v>
      </c>
      <c r="D49" s="8" t="s">
        <v>45</v>
      </c>
      <c r="E49" s="8" t="s">
        <v>18</v>
      </c>
      <c r="F49" s="5">
        <v>8189</v>
      </c>
      <c r="G49" s="8" t="s">
        <v>36</v>
      </c>
      <c r="H49" s="8" t="s">
        <v>31</v>
      </c>
      <c r="I49" s="5">
        <v>20</v>
      </c>
      <c r="J49" s="10">
        <v>3631</v>
      </c>
      <c r="K49" s="10">
        <v>72620</v>
      </c>
      <c r="L49" s="10">
        <v>46719.39</v>
      </c>
      <c r="M49" s="10">
        <v>25900.61</v>
      </c>
      <c r="N49" s="8" t="s">
        <v>28</v>
      </c>
      <c r="O49" s="8" t="s">
        <v>22</v>
      </c>
      <c r="P49" s="8" t="s">
        <v>44</v>
      </c>
      <c r="Q49" s="3">
        <f t="shared" si="0"/>
        <v>0.35665946020380063</v>
      </c>
      <c r="R49" s="8" t="str" cm="1">
        <f t="array" ref="R49">_xlfn.IFS(Q49&gt;40%,"Alta",Q49&gt;20%,"Média",Q49&lt;20%,"Baixa")</f>
        <v>Média</v>
      </c>
    </row>
    <row r="50" spans="1:18" x14ac:dyDescent="0.25">
      <c r="A50" s="5">
        <v>902</v>
      </c>
      <c r="B50" s="6">
        <v>45757</v>
      </c>
      <c r="C50" s="8" t="s">
        <v>34</v>
      </c>
      <c r="D50" s="8" t="s">
        <v>42</v>
      </c>
      <c r="E50" s="8" t="s">
        <v>18</v>
      </c>
      <c r="F50" s="5">
        <v>4430</v>
      </c>
      <c r="G50" s="8" t="s">
        <v>36</v>
      </c>
      <c r="H50" s="8" t="s">
        <v>20</v>
      </c>
      <c r="I50" s="5">
        <v>17</v>
      </c>
      <c r="J50" s="10">
        <v>4240</v>
      </c>
      <c r="K50" s="10">
        <v>72080</v>
      </c>
      <c r="L50" s="10">
        <v>32321.08</v>
      </c>
      <c r="M50" s="10">
        <v>39758.92</v>
      </c>
      <c r="N50" s="8" t="s">
        <v>28</v>
      </c>
      <c r="O50" s="8" t="s">
        <v>22</v>
      </c>
      <c r="P50" s="8" t="s">
        <v>40</v>
      </c>
      <c r="Q50" s="3">
        <f t="shared" si="0"/>
        <v>0.55159433962264148</v>
      </c>
      <c r="R50" s="8" t="str" cm="1">
        <f t="array" ref="R50">_xlfn.IFS(Q50&gt;40%,"Alta",Q50&gt;20%,"Média",Q50&lt;20%,"Baixa")</f>
        <v>Alta</v>
      </c>
    </row>
    <row r="51" spans="1:18" x14ac:dyDescent="0.25">
      <c r="A51" s="5">
        <v>795</v>
      </c>
      <c r="B51" s="6">
        <v>45721</v>
      </c>
      <c r="C51" s="8" t="s">
        <v>47</v>
      </c>
      <c r="D51" s="8" t="s">
        <v>42</v>
      </c>
      <c r="E51" s="8" t="s">
        <v>18</v>
      </c>
      <c r="F51" s="5">
        <v>1177</v>
      </c>
      <c r="G51" s="8" t="s">
        <v>36</v>
      </c>
      <c r="H51" s="8" t="s">
        <v>43</v>
      </c>
      <c r="I51" s="5">
        <v>15</v>
      </c>
      <c r="J51" s="10">
        <v>4804</v>
      </c>
      <c r="K51" s="10">
        <v>72060</v>
      </c>
      <c r="L51" s="10">
        <v>31597.99</v>
      </c>
      <c r="M51" s="10">
        <v>40462.01</v>
      </c>
      <c r="N51" s="8" t="s">
        <v>21</v>
      </c>
      <c r="O51" s="8" t="s">
        <v>22</v>
      </c>
      <c r="P51" s="8" t="s">
        <v>46</v>
      </c>
      <c r="Q51" s="3">
        <f t="shared" si="0"/>
        <v>0.56150444074382466</v>
      </c>
      <c r="R51" s="8" t="str" cm="1">
        <f t="array" ref="R51">_xlfn.IFS(Q51&gt;40%,"Alta",Q51&gt;20%,"Média",Q51&lt;20%,"Baixa")</f>
        <v>Alta</v>
      </c>
    </row>
    <row r="52" spans="1:18" x14ac:dyDescent="0.25">
      <c r="A52" s="5">
        <v>336</v>
      </c>
      <c r="B52" s="6">
        <v>45740</v>
      </c>
      <c r="C52" s="8" t="s">
        <v>34</v>
      </c>
      <c r="D52" s="8" t="s">
        <v>45</v>
      </c>
      <c r="E52" s="8" t="s">
        <v>37</v>
      </c>
      <c r="F52" s="5">
        <v>5215</v>
      </c>
      <c r="G52" s="8" t="s">
        <v>26</v>
      </c>
      <c r="H52" s="8" t="s">
        <v>38</v>
      </c>
      <c r="I52" s="5">
        <v>20</v>
      </c>
      <c r="J52" s="10">
        <v>3599</v>
      </c>
      <c r="K52" s="10">
        <v>71980</v>
      </c>
      <c r="L52" s="10">
        <v>55245.78</v>
      </c>
      <c r="M52" s="10">
        <v>16734.22</v>
      </c>
      <c r="N52" s="8" t="s">
        <v>28</v>
      </c>
      <c r="O52" s="8" t="s">
        <v>33</v>
      </c>
      <c r="P52" s="8" t="s">
        <v>29</v>
      </c>
      <c r="Q52" s="3">
        <f t="shared" si="0"/>
        <v>0.23248430119477634</v>
      </c>
      <c r="R52" s="8" t="str" cm="1">
        <f t="array" ref="R52">_xlfn.IFS(Q52&gt;40%,"Alta",Q52&gt;20%,"Média",Q52&lt;20%,"Baixa")</f>
        <v>Média</v>
      </c>
    </row>
    <row r="53" spans="1:18" x14ac:dyDescent="0.25">
      <c r="A53" s="5">
        <v>280</v>
      </c>
      <c r="B53" s="6">
        <v>45817</v>
      </c>
      <c r="C53" s="8" t="s">
        <v>24</v>
      </c>
      <c r="D53" s="8" t="s">
        <v>30</v>
      </c>
      <c r="E53" s="8" t="s">
        <v>18</v>
      </c>
      <c r="F53" s="5">
        <v>3606</v>
      </c>
      <c r="G53" s="8" t="s">
        <v>26</v>
      </c>
      <c r="H53" s="8" t="s">
        <v>31</v>
      </c>
      <c r="I53" s="5">
        <v>19</v>
      </c>
      <c r="J53" s="10">
        <v>3743</v>
      </c>
      <c r="K53" s="10">
        <v>71117</v>
      </c>
      <c r="L53" s="10">
        <v>30256.06</v>
      </c>
      <c r="M53" s="10">
        <v>40860.94</v>
      </c>
      <c r="N53" s="8" t="s">
        <v>21</v>
      </c>
      <c r="O53" s="8" t="s">
        <v>39</v>
      </c>
      <c r="P53" s="8" t="s">
        <v>23</v>
      </c>
      <c r="Q53" s="3">
        <f t="shared" si="0"/>
        <v>0.57455938805067708</v>
      </c>
      <c r="R53" s="8" t="str" cm="1">
        <f t="array" ref="R53">_xlfn.IFS(Q53&gt;40%,"Alta",Q53&gt;20%,"Média",Q53&lt;20%,"Baixa")</f>
        <v>Alta</v>
      </c>
    </row>
    <row r="54" spans="1:18" x14ac:dyDescent="0.25">
      <c r="A54" s="5">
        <v>366</v>
      </c>
      <c r="B54" s="6">
        <v>45682</v>
      </c>
      <c r="C54" s="8" t="s">
        <v>34</v>
      </c>
      <c r="D54" s="8" t="s">
        <v>17</v>
      </c>
      <c r="E54" s="8" t="s">
        <v>18</v>
      </c>
      <c r="F54" s="5">
        <v>2559</v>
      </c>
      <c r="G54" s="8" t="s">
        <v>19</v>
      </c>
      <c r="H54" s="8" t="s">
        <v>27</v>
      </c>
      <c r="I54" s="5">
        <v>18</v>
      </c>
      <c r="J54" s="10">
        <v>3936</v>
      </c>
      <c r="K54" s="10">
        <v>70848</v>
      </c>
      <c r="L54" s="10">
        <v>42207.99</v>
      </c>
      <c r="M54" s="10">
        <v>28640.01</v>
      </c>
      <c r="N54" s="8" t="s">
        <v>32</v>
      </c>
      <c r="O54" s="8" t="s">
        <v>33</v>
      </c>
      <c r="P54" s="8" t="s">
        <v>46</v>
      </c>
      <c r="Q54" s="3">
        <f t="shared" si="0"/>
        <v>0.40424585027100268</v>
      </c>
      <c r="R54" s="8" t="str" cm="1">
        <f t="array" ref="R54">_xlfn.IFS(Q54&gt;40%,"Alta",Q54&gt;20%,"Média",Q54&lt;20%,"Baixa")</f>
        <v>Alta</v>
      </c>
    </row>
    <row r="55" spans="1:18" x14ac:dyDescent="0.25">
      <c r="A55" s="5">
        <v>266</v>
      </c>
      <c r="B55" s="6">
        <v>45723</v>
      </c>
      <c r="C55" s="8" t="s">
        <v>16</v>
      </c>
      <c r="D55" s="8" t="s">
        <v>30</v>
      </c>
      <c r="E55" s="8" t="s">
        <v>25</v>
      </c>
      <c r="F55" s="5">
        <v>4479</v>
      </c>
      <c r="G55" s="8" t="s">
        <v>26</v>
      </c>
      <c r="H55" s="8" t="s">
        <v>43</v>
      </c>
      <c r="I55" s="5">
        <v>18</v>
      </c>
      <c r="J55" s="10">
        <v>3926</v>
      </c>
      <c r="K55" s="10">
        <v>70668</v>
      </c>
      <c r="L55" s="10">
        <v>49427.93</v>
      </c>
      <c r="M55" s="10">
        <v>21240.07</v>
      </c>
      <c r="N55" s="8" t="s">
        <v>28</v>
      </c>
      <c r="O55" s="8" t="s">
        <v>39</v>
      </c>
      <c r="P55" s="8" t="s">
        <v>46</v>
      </c>
      <c r="Q55" s="3">
        <f t="shared" si="0"/>
        <v>0.30056135733288053</v>
      </c>
      <c r="R55" s="8" t="str" cm="1">
        <f t="array" ref="R55">_xlfn.IFS(Q55&gt;40%,"Alta",Q55&gt;20%,"Média",Q55&lt;20%,"Baixa")</f>
        <v>Média</v>
      </c>
    </row>
    <row r="56" spans="1:18" x14ac:dyDescent="0.25">
      <c r="A56" s="5">
        <v>703</v>
      </c>
      <c r="B56" s="6">
        <v>45826</v>
      </c>
      <c r="C56" s="8" t="s">
        <v>16</v>
      </c>
      <c r="D56" s="8" t="s">
        <v>42</v>
      </c>
      <c r="E56" s="8" t="s">
        <v>41</v>
      </c>
      <c r="F56" s="5">
        <v>3923</v>
      </c>
      <c r="G56" s="8" t="s">
        <v>36</v>
      </c>
      <c r="H56" s="8" t="s">
        <v>31</v>
      </c>
      <c r="I56" s="5">
        <v>16</v>
      </c>
      <c r="J56" s="10">
        <v>4406</v>
      </c>
      <c r="K56" s="10">
        <v>70496</v>
      </c>
      <c r="L56" s="10">
        <v>39438.620000000003</v>
      </c>
      <c r="M56" s="10">
        <v>31057.38</v>
      </c>
      <c r="N56" s="8" t="s">
        <v>21</v>
      </c>
      <c r="O56" s="8" t="s">
        <v>22</v>
      </c>
      <c r="P56" s="8" t="s">
        <v>29</v>
      </c>
      <c r="Q56" s="3">
        <f t="shared" si="0"/>
        <v>0.44055520880617344</v>
      </c>
      <c r="R56" s="8" t="str" cm="1">
        <f t="array" ref="R56">_xlfn.IFS(Q56&gt;40%,"Alta",Q56&gt;20%,"Média",Q56&lt;20%,"Baixa")</f>
        <v>Alta</v>
      </c>
    </row>
    <row r="57" spans="1:18" x14ac:dyDescent="0.25">
      <c r="A57" s="5">
        <v>276</v>
      </c>
      <c r="B57" s="6">
        <v>45832</v>
      </c>
      <c r="C57" s="8" t="s">
        <v>24</v>
      </c>
      <c r="D57" s="8" t="s">
        <v>35</v>
      </c>
      <c r="E57" s="8" t="s">
        <v>25</v>
      </c>
      <c r="F57" s="5">
        <v>1207</v>
      </c>
      <c r="G57" s="8" t="s">
        <v>26</v>
      </c>
      <c r="H57" s="8" t="s">
        <v>31</v>
      </c>
      <c r="I57" s="5">
        <v>18</v>
      </c>
      <c r="J57" s="10">
        <v>3914</v>
      </c>
      <c r="K57" s="10">
        <v>70452</v>
      </c>
      <c r="L57" s="10">
        <v>34000.58</v>
      </c>
      <c r="M57" s="10">
        <v>36451.42</v>
      </c>
      <c r="N57" s="8" t="s">
        <v>28</v>
      </c>
      <c r="O57" s="8" t="s">
        <v>22</v>
      </c>
      <c r="P57" s="8" t="s">
        <v>46</v>
      </c>
      <c r="Q57" s="3">
        <f t="shared" si="0"/>
        <v>0.51739368648157613</v>
      </c>
      <c r="R57" s="8" t="str" cm="1">
        <f t="array" ref="R57">_xlfn.IFS(Q57&gt;40%,"Alta",Q57&gt;20%,"Média",Q57&lt;20%,"Baixa")</f>
        <v>Alta</v>
      </c>
    </row>
    <row r="58" spans="1:18" x14ac:dyDescent="0.25">
      <c r="A58" s="5">
        <v>126</v>
      </c>
      <c r="B58" s="6">
        <v>45807</v>
      </c>
      <c r="C58" s="8" t="s">
        <v>34</v>
      </c>
      <c r="D58" s="8" t="s">
        <v>17</v>
      </c>
      <c r="E58" s="8" t="s">
        <v>18</v>
      </c>
      <c r="F58" s="5">
        <v>8932</v>
      </c>
      <c r="G58" s="8" t="s">
        <v>26</v>
      </c>
      <c r="H58" s="8" t="s">
        <v>43</v>
      </c>
      <c r="I58" s="5">
        <v>19</v>
      </c>
      <c r="J58" s="10">
        <v>3676</v>
      </c>
      <c r="K58" s="10">
        <v>69844</v>
      </c>
      <c r="L58" s="10">
        <v>36555.67</v>
      </c>
      <c r="M58" s="10">
        <v>33288.33</v>
      </c>
      <c r="N58" s="8" t="s">
        <v>21</v>
      </c>
      <c r="O58" s="8" t="s">
        <v>39</v>
      </c>
      <c r="P58" s="8" t="s">
        <v>40</v>
      </c>
      <c r="Q58" s="3">
        <f t="shared" si="0"/>
        <v>0.47660973025599912</v>
      </c>
      <c r="R58" s="8" t="str" cm="1">
        <f t="array" ref="R58">_xlfn.IFS(Q58&gt;40%,"Alta",Q58&gt;20%,"Média",Q58&lt;20%,"Baixa")</f>
        <v>Alta</v>
      </c>
    </row>
    <row r="59" spans="1:18" x14ac:dyDescent="0.25">
      <c r="A59" s="5">
        <v>620</v>
      </c>
      <c r="B59" s="6">
        <v>45789</v>
      </c>
      <c r="C59" s="8" t="s">
        <v>34</v>
      </c>
      <c r="D59" s="8" t="s">
        <v>30</v>
      </c>
      <c r="E59" s="8" t="s">
        <v>25</v>
      </c>
      <c r="F59" s="5">
        <v>7468</v>
      </c>
      <c r="G59" s="8" t="s">
        <v>19</v>
      </c>
      <c r="H59" s="8" t="s">
        <v>20</v>
      </c>
      <c r="I59" s="5">
        <v>14</v>
      </c>
      <c r="J59" s="10">
        <v>4981</v>
      </c>
      <c r="K59" s="10">
        <v>69734</v>
      </c>
      <c r="L59" s="10">
        <v>46696</v>
      </c>
      <c r="M59" s="10">
        <v>23038</v>
      </c>
      <c r="N59" s="8" t="s">
        <v>32</v>
      </c>
      <c r="O59" s="8" t="s">
        <v>22</v>
      </c>
      <c r="P59" s="8" t="s">
        <v>40</v>
      </c>
      <c r="Q59" s="3">
        <f t="shared" si="0"/>
        <v>0.33036969053833137</v>
      </c>
      <c r="R59" s="8" t="str" cm="1">
        <f t="array" ref="R59">_xlfn.IFS(Q59&gt;40%,"Alta",Q59&gt;20%,"Média",Q59&lt;20%,"Baixa")</f>
        <v>Média</v>
      </c>
    </row>
    <row r="60" spans="1:18" x14ac:dyDescent="0.25">
      <c r="A60" s="5">
        <v>632</v>
      </c>
      <c r="B60" s="6">
        <v>45658</v>
      </c>
      <c r="C60" s="8" t="s">
        <v>34</v>
      </c>
      <c r="D60" s="8" t="s">
        <v>42</v>
      </c>
      <c r="E60" s="8" t="s">
        <v>37</v>
      </c>
      <c r="F60" s="5">
        <v>3512</v>
      </c>
      <c r="G60" s="8" t="s">
        <v>36</v>
      </c>
      <c r="H60" s="8" t="s">
        <v>31</v>
      </c>
      <c r="I60" s="5">
        <v>19</v>
      </c>
      <c r="J60" s="10">
        <v>3670</v>
      </c>
      <c r="K60" s="10">
        <v>69730</v>
      </c>
      <c r="L60" s="10">
        <v>54826.57</v>
      </c>
      <c r="M60" s="10">
        <v>14903.43</v>
      </c>
      <c r="N60" s="8" t="s">
        <v>28</v>
      </c>
      <c r="O60" s="8" t="s">
        <v>33</v>
      </c>
      <c r="P60" s="8" t="s">
        <v>44</v>
      </c>
      <c r="Q60" s="3">
        <f t="shared" si="0"/>
        <v>0.21373053205220136</v>
      </c>
      <c r="R60" s="8" t="str" cm="1">
        <f t="array" ref="R60">_xlfn.IFS(Q60&gt;40%,"Alta",Q60&gt;20%,"Média",Q60&lt;20%,"Baixa")</f>
        <v>Média</v>
      </c>
    </row>
    <row r="61" spans="1:18" x14ac:dyDescent="0.25">
      <c r="A61" s="5">
        <v>25</v>
      </c>
      <c r="B61" s="6">
        <v>45675</v>
      </c>
      <c r="C61" s="8" t="s">
        <v>34</v>
      </c>
      <c r="D61" s="8" t="s">
        <v>30</v>
      </c>
      <c r="E61" s="8" t="s">
        <v>25</v>
      </c>
      <c r="F61" s="5">
        <v>9236</v>
      </c>
      <c r="G61" s="8" t="s">
        <v>26</v>
      </c>
      <c r="H61" s="8" t="s">
        <v>27</v>
      </c>
      <c r="I61" s="5">
        <v>15</v>
      </c>
      <c r="J61" s="10">
        <v>4637</v>
      </c>
      <c r="K61" s="10">
        <v>69555</v>
      </c>
      <c r="L61" s="10">
        <v>32555.62</v>
      </c>
      <c r="M61" s="10">
        <v>36999.379999999997</v>
      </c>
      <c r="N61" s="8" t="s">
        <v>21</v>
      </c>
      <c r="O61" s="8" t="s">
        <v>22</v>
      </c>
      <c r="P61" s="8" t="s">
        <v>44</v>
      </c>
      <c r="Q61" s="3">
        <f t="shared" si="0"/>
        <v>0.53194421680684345</v>
      </c>
      <c r="R61" s="8" t="str" cm="1">
        <f t="array" ref="R61">_xlfn.IFS(Q61&gt;40%,"Alta",Q61&gt;20%,"Média",Q61&lt;20%,"Baixa")</f>
        <v>Alta</v>
      </c>
    </row>
    <row r="62" spans="1:18" x14ac:dyDescent="0.25">
      <c r="A62" s="5">
        <v>730</v>
      </c>
      <c r="B62" s="6">
        <v>45791</v>
      </c>
      <c r="C62" s="8" t="s">
        <v>16</v>
      </c>
      <c r="D62" s="8" t="s">
        <v>30</v>
      </c>
      <c r="E62" s="8" t="s">
        <v>18</v>
      </c>
      <c r="F62" s="5">
        <v>2502</v>
      </c>
      <c r="G62" s="8" t="s">
        <v>36</v>
      </c>
      <c r="H62" s="8" t="s">
        <v>31</v>
      </c>
      <c r="I62" s="5">
        <v>17</v>
      </c>
      <c r="J62" s="10">
        <v>4082</v>
      </c>
      <c r="K62" s="10">
        <v>69394</v>
      </c>
      <c r="L62" s="10">
        <v>46968.959999999999</v>
      </c>
      <c r="M62" s="10">
        <v>22425.040000000001</v>
      </c>
      <c r="N62" s="8" t="s">
        <v>28</v>
      </c>
      <c r="O62" s="8" t="s">
        <v>33</v>
      </c>
      <c r="P62" s="8" t="s">
        <v>44</v>
      </c>
      <c r="Q62" s="3">
        <f t="shared" si="0"/>
        <v>0.32315531602155806</v>
      </c>
      <c r="R62" s="8" t="str" cm="1">
        <f t="array" ref="R62">_xlfn.IFS(Q62&gt;40%,"Alta",Q62&gt;20%,"Média",Q62&lt;20%,"Baixa")</f>
        <v>Média</v>
      </c>
    </row>
    <row r="63" spans="1:18" x14ac:dyDescent="0.25">
      <c r="A63" s="5">
        <v>734</v>
      </c>
      <c r="B63" s="6">
        <v>45664</v>
      </c>
      <c r="C63" s="8" t="s">
        <v>47</v>
      </c>
      <c r="D63" s="8" t="s">
        <v>17</v>
      </c>
      <c r="E63" s="8" t="s">
        <v>37</v>
      </c>
      <c r="F63" s="5">
        <v>5356</v>
      </c>
      <c r="G63" s="8" t="s">
        <v>36</v>
      </c>
      <c r="H63" s="8" t="s">
        <v>20</v>
      </c>
      <c r="I63" s="5">
        <v>14</v>
      </c>
      <c r="J63" s="10">
        <v>4955</v>
      </c>
      <c r="K63" s="10">
        <v>69370</v>
      </c>
      <c r="L63" s="10">
        <v>43593.64</v>
      </c>
      <c r="M63" s="10">
        <v>25776.36</v>
      </c>
      <c r="N63" s="8" t="s">
        <v>21</v>
      </c>
      <c r="O63" s="8" t="s">
        <v>39</v>
      </c>
      <c r="P63" s="8" t="s">
        <v>23</v>
      </c>
      <c r="Q63" s="3">
        <f t="shared" si="0"/>
        <v>0.37157791552544328</v>
      </c>
      <c r="R63" s="8" t="str" cm="1">
        <f t="array" ref="R63">_xlfn.IFS(Q63&gt;40%,"Alta",Q63&gt;20%,"Média",Q63&lt;20%,"Baixa")</f>
        <v>Média</v>
      </c>
    </row>
    <row r="64" spans="1:18" x14ac:dyDescent="0.25">
      <c r="A64" s="5">
        <v>269</v>
      </c>
      <c r="B64" s="6">
        <v>45663</v>
      </c>
      <c r="C64" s="8" t="s">
        <v>16</v>
      </c>
      <c r="D64" s="8" t="s">
        <v>42</v>
      </c>
      <c r="E64" s="8" t="s">
        <v>25</v>
      </c>
      <c r="F64" s="5">
        <v>3241</v>
      </c>
      <c r="G64" s="8" t="s">
        <v>36</v>
      </c>
      <c r="H64" s="8" t="s">
        <v>38</v>
      </c>
      <c r="I64" s="5">
        <v>15</v>
      </c>
      <c r="J64" s="10">
        <v>4614</v>
      </c>
      <c r="K64" s="10">
        <v>69210</v>
      </c>
      <c r="L64" s="10">
        <v>43951.89</v>
      </c>
      <c r="M64" s="10">
        <v>25258.11</v>
      </c>
      <c r="N64" s="8" t="s">
        <v>28</v>
      </c>
      <c r="O64" s="8" t="s">
        <v>39</v>
      </c>
      <c r="P64" s="8" t="s">
        <v>46</v>
      </c>
      <c r="Q64" s="3">
        <f t="shared" si="0"/>
        <v>0.36494885132206328</v>
      </c>
      <c r="R64" s="8" t="str" cm="1">
        <f t="array" ref="R64">_xlfn.IFS(Q64&gt;40%,"Alta",Q64&gt;20%,"Média",Q64&lt;20%,"Baixa")</f>
        <v>Média</v>
      </c>
    </row>
    <row r="65" spans="1:18" x14ac:dyDescent="0.25">
      <c r="A65" s="5">
        <v>838</v>
      </c>
      <c r="B65" s="6">
        <v>45761</v>
      </c>
      <c r="C65" s="8" t="s">
        <v>16</v>
      </c>
      <c r="D65" s="8" t="s">
        <v>30</v>
      </c>
      <c r="E65" s="8" t="s">
        <v>41</v>
      </c>
      <c r="F65" s="5">
        <v>9227</v>
      </c>
      <c r="G65" s="8" t="s">
        <v>26</v>
      </c>
      <c r="H65" s="8" t="s">
        <v>38</v>
      </c>
      <c r="I65" s="5">
        <v>19</v>
      </c>
      <c r="J65" s="10">
        <v>3632</v>
      </c>
      <c r="K65" s="10">
        <v>69008</v>
      </c>
      <c r="L65" s="10">
        <v>54369.27</v>
      </c>
      <c r="M65" s="10">
        <v>14638.73</v>
      </c>
      <c r="N65" s="8" t="s">
        <v>32</v>
      </c>
      <c r="O65" s="8" t="s">
        <v>22</v>
      </c>
      <c r="P65" s="8" t="s">
        <v>46</v>
      </c>
      <c r="Q65" s="3">
        <f t="shared" si="0"/>
        <v>0.21213091235798748</v>
      </c>
      <c r="R65" s="8" t="str" cm="1">
        <f t="array" ref="R65">_xlfn.IFS(Q65&gt;40%,"Alta",Q65&gt;20%,"Média",Q65&lt;20%,"Baixa")</f>
        <v>Média</v>
      </c>
    </row>
    <row r="66" spans="1:18" x14ac:dyDescent="0.25">
      <c r="A66" s="5">
        <v>938</v>
      </c>
      <c r="B66" s="6">
        <v>45745</v>
      </c>
      <c r="C66" s="8" t="s">
        <v>16</v>
      </c>
      <c r="D66" s="8" t="s">
        <v>45</v>
      </c>
      <c r="E66" s="8" t="s">
        <v>41</v>
      </c>
      <c r="F66" s="5">
        <v>1169</v>
      </c>
      <c r="G66" s="8" t="s">
        <v>36</v>
      </c>
      <c r="H66" s="8" t="s">
        <v>38</v>
      </c>
      <c r="I66" s="5">
        <v>17</v>
      </c>
      <c r="J66" s="10">
        <v>4033</v>
      </c>
      <c r="K66" s="10">
        <v>68561</v>
      </c>
      <c r="L66" s="10">
        <v>36033.83</v>
      </c>
      <c r="M66" s="10">
        <v>32527.17</v>
      </c>
      <c r="N66" s="8" t="s">
        <v>21</v>
      </c>
      <c r="O66" s="8" t="s">
        <v>33</v>
      </c>
      <c r="P66" s="8" t="s">
        <v>29</v>
      </c>
      <c r="Q66" s="3">
        <f t="shared" ref="Q66:Q129" si="2">M66/K66</f>
        <v>0.47442671489622379</v>
      </c>
      <c r="R66" s="8" t="str" cm="1">
        <f t="array" ref="R66">_xlfn.IFS(Q66&gt;40%,"Alta",Q66&gt;20%,"Média",Q66&lt;20%,"Baixa")</f>
        <v>Alta</v>
      </c>
    </row>
    <row r="67" spans="1:18" x14ac:dyDescent="0.25">
      <c r="A67" s="5">
        <v>155</v>
      </c>
      <c r="B67" s="6">
        <v>45718</v>
      </c>
      <c r="C67" s="8" t="s">
        <v>34</v>
      </c>
      <c r="D67" s="8" t="s">
        <v>30</v>
      </c>
      <c r="E67" s="8" t="s">
        <v>18</v>
      </c>
      <c r="F67" s="5">
        <v>6930</v>
      </c>
      <c r="G67" s="8" t="s">
        <v>26</v>
      </c>
      <c r="H67" s="8" t="s">
        <v>43</v>
      </c>
      <c r="I67" s="5">
        <v>15</v>
      </c>
      <c r="J67" s="10">
        <v>4515</v>
      </c>
      <c r="K67" s="10">
        <v>67725</v>
      </c>
      <c r="L67" s="10">
        <v>39570.74</v>
      </c>
      <c r="M67" s="10">
        <v>28154.26</v>
      </c>
      <c r="N67" s="8" t="s">
        <v>28</v>
      </c>
      <c r="O67" s="8" t="s">
        <v>33</v>
      </c>
      <c r="P67" s="8" t="s">
        <v>29</v>
      </c>
      <c r="Q67" s="3">
        <f t="shared" si="2"/>
        <v>0.41571443337024733</v>
      </c>
      <c r="R67" s="8" t="str" cm="1">
        <f t="array" ref="R67">_xlfn.IFS(Q67&gt;40%,"Alta",Q67&gt;20%,"Média",Q67&lt;20%,"Baixa")</f>
        <v>Alta</v>
      </c>
    </row>
    <row r="68" spans="1:18" x14ac:dyDescent="0.25">
      <c r="A68" s="5">
        <v>472</v>
      </c>
      <c r="B68" s="6">
        <v>45790</v>
      </c>
      <c r="C68" s="8" t="s">
        <v>47</v>
      </c>
      <c r="D68" s="8" t="s">
        <v>17</v>
      </c>
      <c r="E68" s="8" t="s">
        <v>37</v>
      </c>
      <c r="F68" s="5">
        <v>2628</v>
      </c>
      <c r="G68" s="8" t="s">
        <v>36</v>
      </c>
      <c r="H68" s="8" t="s">
        <v>27</v>
      </c>
      <c r="I68" s="5">
        <v>19</v>
      </c>
      <c r="J68" s="10">
        <v>3541</v>
      </c>
      <c r="K68" s="10">
        <v>67279</v>
      </c>
      <c r="L68" s="10">
        <v>50738.64</v>
      </c>
      <c r="M68" s="10">
        <v>16540.36</v>
      </c>
      <c r="N68" s="8" t="s">
        <v>32</v>
      </c>
      <c r="O68" s="8" t="s">
        <v>39</v>
      </c>
      <c r="P68" s="8" t="s">
        <v>44</v>
      </c>
      <c r="Q68" s="3">
        <f t="shared" si="2"/>
        <v>0.24584729261731</v>
      </c>
      <c r="R68" s="8" t="str" cm="1">
        <f t="array" ref="R68">_xlfn.IFS(Q68&gt;40%,"Alta",Q68&gt;20%,"Média",Q68&lt;20%,"Baixa")</f>
        <v>Média</v>
      </c>
    </row>
    <row r="69" spans="1:18" x14ac:dyDescent="0.25">
      <c r="A69" s="5">
        <v>885</v>
      </c>
      <c r="B69" s="6">
        <v>45749</v>
      </c>
      <c r="C69" s="8" t="s">
        <v>16</v>
      </c>
      <c r="D69" s="8" t="s">
        <v>45</v>
      </c>
      <c r="E69" s="8" t="s">
        <v>37</v>
      </c>
      <c r="F69" s="5">
        <v>9510</v>
      </c>
      <c r="G69" s="8" t="s">
        <v>26</v>
      </c>
      <c r="H69" s="8" t="s">
        <v>20</v>
      </c>
      <c r="I69" s="5">
        <v>18</v>
      </c>
      <c r="J69" s="10">
        <v>3728</v>
      </c>
      <c r="K69" s="10">
        <v>67104</v>
      </c>
      <c r="L69" s="10">
        <v>42303.02</v>
      </c>
      <c r="M69" s="10">
        <v>24800.98</v>
      </c>
      <c r="N69" s="8" t="s">
        <v>32</v>
      </c>
      <c r="O69" s="8" t="s">
        <v>39</v>
      </c>
      <c r="P69" s="8" t="s">
        <v>23</v>
      </c>
      <c r="Q69" s="3">
        <f t="shared" si="2"/>
        <v>0.36959018836433</v>
      </c>
      <c r="R69" s="8" t="str" cm="1">
        <f t="array" ref="R69">_xlfn.IFS(Q69&gt;40%,"Alta",Q69&gt;20%,"Média",Q69&lt;20%,"Baixa")</f>
        <v>Média</v>
      </c>
    </row>
    <row r="70" spans="1:18" x14ac:dyDescent="0.25">
      <c r="A70" s="5">
        <v>289</v>
      </c>
      <c r="B70" s="6">
        <v>45762</v>
      </c>
      <c r="C70" s="8" t="s">
        <v>34</v>
      </c>
      <c r="D70" s="8" t="s">
        <v>45</v>
      </c>
      <c r="E70" s="8" t="s">
        <v>41</v>
      </c>
      <c r="F70" s="5">
        <v>6736</v>
      </c>
      <c r="G70" s="8" t="s">
        <v>19</v>
      </c>
      <c r="H70" s="8" t="s">
        <v>20</v>
      </c>
      <c r="I70" s="5">
        <v>14</v>
      </c>
      <c r="J70" s="10">
        <v>4777</v>
      </c>
      <c r="K70" s="10">
        <v>66878</v>
      </c>
      <c r="L70" s="10">
        <v>48930.02</v>
      </c>
      <c r="M70" s="10">
        <v>17947.98</v>
      </c>
      <c r="N70" s="8" t="s">
        <v>32</v>
      </c>
      <c r="O70" s="8" t="s">
        <v>39</v>
      </c>
      <c r="P70" s="8" t="s">
        <v>29</v>
      </c>
      <c r="Q70" s="3">
        <f t="shared" si="2"/>
        <v>0.2683689703639463</v>
      </c>
      <c r="R70" s="8" t="str" cm="1">
        <f t="array" ref="R70">_xlfn.IFS(Q70&gt;40%,"Alta",Q70&gt;20%,"Média",Q70&lt;20%,"Baixa")</f>
        <v>Média</v>
      </c>
    </row>
    <row r="71" spans="1:18" x14ac:dyDescent="0.25">
      <c r="A71" s="5">
        <v>944</v>
      </c>
      <c r="B71" s="6">
        <v>45736</v>
      </c>
      <c r="C71" s="8" t="s">
        <v>16</v>
      </c>
      <c r="D71" s="8" t="s">
        <v>35</v>
      </c>
      <c r="E71" s="8" t="s">
        <v>25</v>
      </c>
      <c r="F71" s="5">
        <v>9873</v>
      </c>
      <c r="G71" s="8" t="s">
        <v>19</v>
      </c>
      <c r="H71" s="8" t="s">
        <v>31</v>
      </c>
      <c r="I71" s="5">
        <v>18</v>
      </c>
      <c r="J71" s="10">
        <v>3708</v>
      </c>
      <c r="K71" s="10">
        <v>66744</v>
      </c>
      <c r="L71" s="10">
        <v>43054.7</v>
      </c>
      <c r="M71" s="10">
        <v>23689.3</v>
      </c>
      <c r="N71" s="8" t="s">
        <v>32</v>
      </c>
      <c r="O71" s="8" t="s">
        <v>22</v>
      </c>
      <c r="P71" s="8" t="s">
        <v>29</v>
      </c>
      <c r="Q71" s="3">
        <f t="shared" si="2"/>
        <v>0.35492778377082584</v>
      </c>
      <c r="R71" s="8" t="str" cm="1">
        <f t="array" ref="R71">_xlfn.IFS(Q71&gt;40%,"Alta",Q71&gt;20%,"Média",Q71&lt;20%,"Baixa")</f>
        <v>Média</v>
      </c>
    </row>
    <row r="72" spans="1:18" x14ac:dyDescent="0.25">
      <c r="A72" s="5">
        <v>981</v>
      </c>
      <c r="B72" s="6">
        <v>45725</v>
      </c>
      <c r="C72" s="8" t="s">
        <v>16</v>
      </c>
      <c r="D72" s="8" t="s">
        <v>42</v>
      </c>
      <c r="E72" s="8" t="s">
        <v>18</v>
      </c>
      <c r="F72" s="5">
        <v>5996</v>
      </c>
      <c r="G72" s="8" t="s">
        <v>36</v>
      </c>
      <c r="H72" s="8" t="s">
        <v>20</v>
      </c>
      <c r="I72" s="5">
        <v>18</v>
      </c>
      <c r="J72" s="10">
        <v>3688</v>
      </c>
      <c r="K72" s="10">
        <v>66384</v>
      </c>
      <c r="L72" s="10">
        <v>35430.36</v>
      </c>
      <c r="M72" s="10">
        <v>30953.64</v>
      </c>
      <c r="N72" s="8" t="s">
        <v>21</v>
      </c>
      <c r="O72" s="8" t="s">
        <v>33</v>
      </c>
      <c r="P72" s="8" t="s">
        <v>29</v>
      </c>
      <c r="Q72" s="3">
        <f t="shared" si="2"/>
        <v>0.46628163412870571</v>
      </c>
      <c r="R72" s="8" t="str" cm="1">
        <f t="array" ref="R72">_xlfn.IFS(Q72&gt;40%,"Alta",Q72&gt;20%,"Média",Q72&lt;20%,"Baixa")</f>
        <v>Alta</v>
      </c>
    </row>
    <row r="73" spans="1:18" x14ac:dyDescent="0.25">
      <c r="A73" s="5">
        <v>843</v>
      </c>
      <c r="B73" s="6">
        <v>45826</v>
      </c>
      <c r="C73" s="8" t="s">
        <v>24</v>
      </c>
      <c r="D73" s="8" t="s">
        <v>35</v>
      </c>
      <c r="E73" s="8" t="s">
        <v>25</v>
      </c>
      <c r="F73" s="5">
        <v>2330</v>
      </c>
      <c r="G73" s="8" t="s">
        <v>36</v>
      </c>
      <c r="H73" s="8" t="s">
        <v>20</v>
      </c>
      <c r="I73" s="5">
        <v>20</v>
      </c>
      <c r="J73" s="10">
        <v>3302</v>
      </c>
      <c r="K73" s="10">
        <v>66040</v>
      </c>
      <c r="L73" s="10">
        <v>49910.98</v>
      </c>
      <c r="M73" s="10">
        <v>16129.02</v>
      </c>
      <c r="N73" s="8" t="s">
        <v>32</v>
      </c>
      <c r="O73" s="8" t="s">
        <v>33</v>
      </c>
      <c r="P73" s="8" t="s">
        <v>46</v>
      </c>
      <c r="Q73" s="3">
        <f t="shared" si="2"/>
        <v>0.24423107207752878</v>
      </c>
      <c r="R73" s="8" t="str" cm="1">
        <f t="array" ref="R73">_xlfn.IFS(Q73&gt;40%,"Alta",Q73&gt;20%,"Média",Q73&lt;20%,"Baixa")</f>
        <v>Média</v>
      </c>
    </row>
    <row r="74" spans="1:18" x14ac:dyDescent="0.25">
      <c r="A74" s="5">
        <v>469</v>
      </c>
      <c r="B74" s="6">
        <v>45760</v>
      </c>
      <c r="C74" s="8" t="s">
        <v>47</v>
      </c>
      <c r="D74" s="8" t="s">
        <v>45</v>
      </c>
      <c r="E74" s="8" t="s">
        <v>37</v>
      </c>
      <c r="F74" s="5">
        <v>6819</v>
      </c>
      <c r="G74" s="8" t="s">
        <v>26</v>
      </c>
      <c r="H74" s="8" t="s">
        <v>20</v>
      </c>
      <c r="I74" s="5">
        <v>18</v>
      </c>
      <c r="J74" s="10">
        <v>3666</v>
      </c>
      <c r="K74" s="10">
        <v>65988</v>
      </c>
      <c r="L74" s="10">
        <v>33982.32</v>
      </c>
      <c r="M74" s="10">
        <v>32005.68</v>
      </c>
      <c r="N74" s="8" t="s">
        <v>21</v>
      </c>
      <c r="O74" s="8" t="s">
        <v>33</v>
      </c>
      <c r="P74" s="8" t="s">
        <v>40</v>
      </c>
      <c r="Q74" s="3">
        <f t="shared" si="2"/>
        <v>0.48502273140571012</v>
      </c>
      <c r="R74" s="8" t="str" cm="1">
        <f t="array" ref="R74">_xlfn.IFS(Q74&gt;40%,"Alta",Q74&gt;20%,"Média",Q74&lt;20%,"Baixa")</f>
        <v>Alta</v>
      </c>
    </row>
    <row r="75" spans="1:18" x14ac:dyDescent="0.25">
      <c r="A75" s="5">
        <v>481</v>
      </c>
      <c r="B75" s="6">
        <v>45769</v>
      </c>
      <c r="C75" s="8" t="s">
        <v>24</v>
      </c>
      <c r="D75" s="8" t="s">
        <v>42</v>
      </c>
      <c r="E75" s="8" t="s">
        <v>25</v>
      </c>
      <c r="F75" s="5">
        <v>2282</v>
      </c>
      <c r="G75" s="8" t="s">
        <v>26</v>
      </c>
      <c r="H75" s="8" t="s">
        <v>38</v>
      </c>
      <c r="I75" s="5">
        <v>17</v>
      </c>
      <c r="J75" s="10">
        <v>3880</v>
      </c>
      <c r="K75" s="10">
        <v>65960</v>
      </c>
      <c r="L75" s="10">
        <v>49590.64</v>
      </c>
      <c r="M75" s="10">
        <v>16369.36</v>
      </c>
      <c r="N75" s="8" t="s">
        <v>21</v>
      </c>
      <c r="O75" s="8" t="s">
        <v>33</v>
      </c>
      <c r="P75" s="8" t="s">
        <v>23</v>
      </c>
      <c r="Q75" s="3">
        <f t="shared" si="2"/>
        <v>0.24817101273499093</v>
      </c>
      <c r="R75" s="8" t="str" cm="1">
        <f t="array" ref="R75">_xlfn.IFS(Q75&gt;40%,"Alta",Q75&gt;20%,"Média",Q75&lt;20%,"Baixa")</f>
        <v>Média</v>
      </c>
    </row>
    <row r="76" spans="1:18" x14ac:dyDescent="0.25">
      <c r="A76" s="5">
        <v>422</v>
      </c>
      <c r="B76" s="6">
        <v>45784</v>
      </c>
      <c r="C76" s="8" t="s">
        <v>24</v>
      </c>
      <c r="D76" s="8" t="s">
        <v>30</v>
      </c>
      <c r="E76" s="8" t="s">
        <v>25</v>
      </c>
      <c r="F76" s="5">
        <v>5382</v>
      </c>
      <c r="G76" s="8" t="s">
        <v>19</v>
      </c>
      <c r="H76" s="8" t="s">
        <v>27</v>
      </c>
      <c r="I76" s="5">
        <v>19</v>
      </c>
      <c r="J76" s="10">
        <v>3458</v>
      </c>
      <c r="K76" s="10">
        <v>65702</v>
      </c>
      <c r="L76" s="10">
        <v>39913</v>
      </c>
      <c r="M76" s="10">
        <v>25789</v>
      </c>
      <c r="N76" s="8" t="s">
        <v>32</v>
      </c>
      <c r="O76" s="8" t="s">
        <v>22</v>
      </c>
      <c r="P76" s="8" t="s">
        <v>40</v>
      </c>
      <c r="Q76" s="3">
        <f t="shared" si="2"/>
        <v>0.39251468752853796</v>
      </c>
      <c r="R76" s="8" t="str" cm="1">
        <f t="array" ref="R76">_xlfn.IFS(Q76&gt;40%,"Alta",Q76&gt;20%,"Média",Q76&lt;20%,"Baixa")</f>
        <v>Média</v>
      </c>
    </row>
    <row r="77" spans="1:18" x14ac:dyDescent="0.25">
      <c r="A77" s="5">
        <v>829</v>
      </c>
      <c r="B77" s="6">
        <v>45728</v>
      </c>
      <c r="C77" s="8" t="s">
        <v>24</v>
      </c>
      <c r="D77" s="8" t="s">
        <v>45</v>
      </c>
      <c r="E77" s="8" t="s">
        <v>41</v>
      </c>
      <c r="F77" s="5">
        <v>3816</v>
      </c>
      <c r="G77" s="8" t="s">
        <v>26</v>
      </c>
      <c r="H77" s="8" t="s">
        <v>38</v>
      </c>
      <c r="I77" s="5">
        <v>16</v>
      </c>
      <c r="J77" s="10">
        <v>4104</v>
      </c>
      <c r="K77" s="10">
        <v>65664</v>
      </c>
      <c r="L77" s="10">
        <v>30999.279999999999</v>
      </c>
      <c r="M77" s="10">
        <v>34664.720000000001</v>
      </c>
      <c r="N77" s="8" t="s">
        <v>32</v>
      </c>
      <c r="O77" s="8" t="s">
        <v>39</v>
      </c>
      <c r="P77" s="8" t="s">
        <v>40</v>
      </c>
      <c r="Q77" s="3">
        <f t="shared" si="2"/>
        <v>0.52791057504873296</v>
      </c>
      <c r="R77" s="8" t="str" cm="1">
        <f t="array" ref="R77">_xlfn.IFS(Q77&gt;40%,"Alta",Q77&gt;20%,"Média",Q77&lt;20%,"Baixa")</f>
        <v>Alta</v>
      </c>
    </row>
    <row r="78" spans="1:18" x14ac:dyDescent="0.25">
      <c r="A78" s="5">
        <v>788</v>
      </c>
      <c r="B78" s="6">
        <v>45737</v>
      </c>
      <c r="C78" s="8" t="s">
        <v>24</v>
      </c>
      <c r="D78" s="8" t="s">
        <v>30</v>
      </c>
      <c r="E78" s="8" t="s">
        <v>41</v>
      </c>
      <c r="F78" s="5">
        <v>8602</v>
      </c>
      <c r="G78" s="8" t="s">
        <v>36</v>
      </c>
      <c r="H78" s="8" t="s">
        <v>20</v>
      </c>
      <c r="I78" s="5">
        <v>20</v>
      </c>
      <c r="J78" s="10">
        <v>3281</v>
      </c>
      <c r="K78" s="10">
        <v>65620</v>
      </c>
      <c r="L78" s="10">
        <v>37731.410000000003</v>
      </c>
      <c r="M78" s="10">
        <v>27888.59</v>
      </c>
      <c r="N78" s="8" t="s">
        <v>28</v>
      </c>
      <c r="O78" s="8" t="s">
        <v>39</v>
      </c>
      <c r="P78" s="8" t="s">
        <v>23</v>
      </c>
      <c r="Q78" s="3">
        <f t="shared" si="2"/>
        <v>0.42500137153306916</v>
      </c>
      <c r="R78" s="8" t="str" cm="1">
        <f t="array" ref="R78">_xlfn.IFS(Q78&gt;40%,"Alta",Q78&gt;20%,"Média",Q78&lt;20%,"Baixa")</f>
        <v>Alta</v>
      </c>
    </row>
    <row r="79" spans="1:18" x14ac:dyDescent="0.25">
      <c r="A79" s="5">
        <v>442</v>
      </c>
      <c r="B79" s="6">
        <v>45753</v>
      </c>
      <c r="C79" s="8" t="s">
        <v>47</v>
      </c>
      <c r="D79" s="8" t="s">
        <v>17</v>
      </c>
      <c r="E79" s="8" t="s">
        <v>18</v>
      </c>
      <c r="F79" s="5">
        <v>1234</v>
      </c>
      <c r="G79" s="8" t="s">
        <v>19</v>
      </c>
      <c r="H79" s="8" t="s">
        <v>38</v>
      </c>
      <c r="I79" s="5">
        <v>19</v>
      </c>
      <c r="J79" s="10">
        <v>3448</v>
      </c>
      <c r="K79" s="10">
        <v>65512</v>
      </c>
      <c r="L79" s="10">
        <v>47976.44</v>
      </c>
      <c r="M79" s="10">
        <v>17535.560000000001</v>
      </c>
      <c r="N79" s="8" t="s">
        <v>32</v>
      </c>
      <c r="O79" s="8" t="s">
        <v>33</v>
      </c>
      <c r="P79" s="8" t="s">
        <v>29</v>
      </c>
      <c r="Q79" s="3">
        <f t="shared" si="2"/>
        <v>0.26766943460740017</v>
      </c>
      <c r="R79" s="8" t="str" cm="1">
        <f t="array" ref="R79">_xlfn.IFS(Q79&gt;40%,"Alta",Q79&gt;20%,"Média",Q79&lt;20%,"Baixa")</f>
        <v>Média</v>
      </c>
    </row>
    <row r="80" spans="1:18" x14ac:dyDescent="0.25">
      <c r="A80" s="5">
        <v>402</v>
      </c>
      <c r="B80" s="6">
        <v>45837</v>
      </c>
      <c r="C80" s="8" t="s">
        <v>34</v>
      </c>
      <c r="D80" s="8" t="s">
        <v>17</v>
      </c>
      <c r="E80" s="8" t="s">
        <v>41</v>
      </c>
      <c r="F80" s="5">
        <v>1531</v>
      </c>
      <c r="G80" s="8" t="s">
        <v>26</v>
      </c>
      <c r="H80" s="8" t="s">
        <v>20</v>
      </c>
      <c r="I80" s="5">
        <v>15</v>
      </c>
      <c r="J80" s="10">
        <v>4365</v>
      </c>
      <c r="K80" s="10">
        <v>65475</v>
      </c>
      <c r="L80" s="10">
        <v>44364.43</v>
      </c>
      <c r="M80" s="10">
        <v>21110.57</v>
      </c>
      <c r="N80" s="8" t="s">
        <v>28</v>
      </c>
      <c r="O80" s="8" t="s">
        <v>22</v>
      </c>
      <c r="P80" s="8" t="s">
        <v>46</v>
      </c>
      <c r="Q80" s="3">
        <f t="shared" si="2"/>
        <v>0.32242184039709815</v>
      </c>
      <c r="R80" s="8" t="str" cm="1">
        <f t="array" ref="R80">_xlfn.IFS(Q80&gt;40%,"Alta",Q80&gt;20%,"Média",Q80&lt;20%,"Baixa")</f>
        <v>Média</v>
      </c>
    </row>
    <row r="81" spans="1:18" x14ac:dyDescent="0.25">
      <c r="A81" s="5">
        <v>558</v>
      </c>
      <c r="B81" s="6">
        <v>45793</v>
      </c>
      <c r="C81" s="8" t="s">
        <v>16</v>
      </c>
      <c r="D81" s="8" t="s">
        <v>17</v>
      </c>
      <c r="E81" s="8" t="s">
        <v>18</v>
      </c>
      <c r="F81" s="5">
        <v>1038</v>
      </c>
      <c r="G81" s="8" t="s">
        <v>36</v>
      </c>
      <c r="H81" s="8" t="s">
        <v>27</v>
      </c>
      <c r="I81" s="5">
        <v>18</v>
      </c>
      <c r="J81" s="10">
        <v>3627</v>
      </c>
      <c r="K81" s="10">
        <v>65286</v>
      </c>
      <c r="L81" s="10">
        <v>44620.37</v>
      </c>
      <c r="M81" s="10">
        <v>20665.63</v>
      </c>
      <c r="N81" s="8" t="s">
        <v>32</v>
      </c>
      <c r="O81" s="8" t="s">
        <v>33</v>
      </c>
      <c r="P81" s="8" t="s">
        <v>29</v>
      </c>
      <c r="Q81" s="3">
        <f t="shared" si="2"/>
        <v>0.31653999326042337</v>
      </c>
      <c r="R81" s="8" t="str" cm="1">
        <f t="array" ref="R81">_xlfn.IFS(Q81&gt;40%,"Alta",Q81&gt;20%,"Média",Q81&lt;20%,"Baixa")</f>
        <v>Média</v>
      </c>
    </row>
    <row r="82" spans="1:18" x14ac:dyDescent="0.25">
      <c r="A82" s="5">
        <v>694</v>
      </c>
      <c r="B82" s="6">
        <v>45735</v>
      </c>
      <c r="C82" s="8" t="s">
        <v>24</v>
      </c>
      <c r="D82" s="8" t="s">
        <v>45</v>
      </c>
      <c r="E82" s="8" t="s">
        <v>25</v>
      </c>
      <c r="F82" s="5">
        <v>7586</v>
      </c>
      <c r="G82" s="8" t="s">
        <v>19</v>
      </c>
      <c r="H82" s="8" t="s">
        <v>27</v>
      </c>
      <c r="I82" s="5">
        <v>16</v>
      </c>
      <c r="J82" s="10">
        <v>4075</v>
      </c>
      <c r="K82" s="10">
        <v>65200</v>
      </c>
      <c r="L82" s="10">
        <v>36974.120000000003</v>
      </c>
      <c r="M82" s="10">
        <v>28225.88</v>
      </c>
      <c r="N82" s="8" t="s">
        <v>32</v>
      </c>
      <c r="O82" s="8" t="s">
        <v>33</v>
      </c>
      <c r="P82" s="8" t="s">
        <v>44</v>
      </c>
      <c r="Q82" s="3">
        <f t="shared" si="2"/>
        <v>0.43291226993865034</v>
      </c>
      <c r="R82" s="8" t="str" cm="1">
        <f t="array" ref="R82">_xlfn.IFS(Q82&gt;40%,"Alta",Q82&gt;20%,"Média",Q82&lt;20%,"Baixa")</f>
        <v>Alta</v>
      </c>
    </row>
    <row r="83" spans="1:18" x14ac:dyDescent="0.25">
      <c r="A83" s="5">
        <v>745</v>
      </c>
      <c r="B83" s="6">
        <v>45692</v>
      </c>
      <c r="C83" s="8" t="s">
        <v>16</v>
      </c>
      <c r="D83" s="8" t="s">
        <v>35</v>
      </c>
      <c r="E83" s="8" t="s">
        <v>18</v>
      </c>
      <c r="F83" s="5">
        <v>8861</v>
      </c>
      <c r="G83" s="8" t="s">
        <v>36</v>
      </c>
      <c r="H83" s="8" t="s">
        <v>31</v>
      </c>
      <c r="I83" s="5">
        <v>15</v>
      </c>
      <c r="J83" s="10">
        <v>4341</v>
      </c>
      <c r="K83" s="10">
        <v>65115</v>
      </c>
      <c r="L83" s="10">
        <v>33633.01</v>
      </c>
      <c r="M83" s="10">
        <v>31481.99</v>
      </c>
      <c r="N83" s="8" t="s">
        <v>32</v>
      </c>
      <c r="O83" s="8" t="s">
        <v>22</v>
      </c>
      <c r="P83" s="8" t="s">
        <v>23</v>
      </c>
      <c r="Q83" s="3">
        <f t="shared" si="2"/>
        <v>0.48348291484297018</v>
      </c>
      <c r="R83" s="8" t="str" cm="1">
        <f t="array" ref="R83">_xlfn.IFS(Q83&gt;40%,"Alta",Q83&gt;20%,"Média",Q83&lt;20%,"Baixa")</f>
        <v>Alta</v>
      </c>
    </row>
    <row r="84" spans="1:18" x14ac:dyDescent="0.25">
      <c r="A84" s="5">
        <v>74</v>
      </c>
      <c r="B84" s="6">
        <v>45680</v>
      </c>
      <c r="C84" s="8" t="s">
        <v>16</v>
      </c>
      <c r="D84" s="8" t="s">
        <v>42</v>
      </c>
      <c r="E84" s="8" t="s">
        <v>18</v>
      </c>
      <c r="F84" s="5">
        <v>9958</v>
      </c>
      <c r="G84" s="8" t="s">
        <v>19</v>
      </c>
      <c r="H84" s="8" t="s">
        <v>38</v>
      </c>
      <c r="I84" s="5">
        <v>18</v>
      </c>
      <c r="J84" s="10">
        <v>3616</v>
      </c>
      <c r="K84" s="10">
        <v>65088</v>
      </c>
      <c r="L84" s="10">
        <v>29617.83</v>
      </c>
      <c r="M84" s="10">
        <v>35470.17</v>
      </c>
      <c r="N84" s="8" t="s">
        <v>28</v>
      </c>
      <c r="O84" s="8" t="s">
        <v>33</v>
      </c>
      <c r="P84" s="8" t="s">
        <v>29</v>
      </c>
      <c r="Q84" s="3">
        <f t="shared" si="2"/>
        <v>0.54495713495575215</v>
      </c>
      <c r="R84" s="8" t="str" cm="1">
        <f t="array" ref="R84">_xlfn.IFS(Q84&gt;40%,"Alta",Q84&gt;20%,"Média",Q84&lt;20%,"Baixa")</f>
        <v>Alta</v>
      </c>
    </row>
    <row r="85" spans="1:18" x14ac:dyDescent="0.25">
      <c r="A85" s="5">
        <v>435</v>
      </c>
      <c r="B85" s="6">
        <v>45830</v>
      </c>
      <c r="C85" s="8" t="s">
        <v>34</v>
      </c>
      <c r="D85" s="8" t="s">
        <v>45</v>
      </c>
      <c r="E85" s="8" t="s">
        <v>37</v>
      </c>
      <c r="F85" s="5">
        <v>8255</v>
      </c>
      <c r="G85" s="8" t="s">
        <v>19</v>
      </c>
      <c r="H85" s="8" t="s">
        <v>27</v>
      </c>
      <c r="I85" s="5">
        <v>17</v>
      </c>
      <c r="J85" s="10">
        <v>3818</v>
      </c>
      <c r="K85" s="10">
        <v>64906</v>
      </c>
      <c r="L85" s="10">
        <v>38448.230000000003</v>
      </c>
      <c r="M85" s="10">
        <v>26457.77</v>
      </c>
      <c r="N85" s="8" t="s">
        <v>28</v>
      </c>
      <c r="O85" s="8" t="s">
        <v>33</v>
      </c>
      <c r="P85" s="8" t="s">
        <v>23</v>
      </c>
      <c r="Q85" s="3">
        <f t="shared" si="2"/>
        <v>0.40763211413428652</v>
      </c>
      <c r="R85" s="8" t="str" cm="1">
        <f t="array" ref="R85">_xlfn.IFS(Q85&gt;40%,"Alta",Q85&gt;20%,"Média",Q85&lt;20%,"Baixa")</f>
        <v>Alta</v>
      </c>
    </row>
    <row r="86" spans="1:18" x14ac:dyDescent="0.25">
      <c r="A86" s="5">
        <v>389</v>
      </c>
      <c r="B86" s="6">
        <v>45810</v>
      </c>
      <c r="C86" s="8" t="s">
        <v>16</v>
      </c>
      <c r="D86" s="8" t="s">
        <v>45</v>
      </c>
      <c r="E86" s="8" t="s">
        <v>37</v>
      </c>
      <c r="F86" s="5">
        <v>4401</v>
      </c>
      <c r="G86" s="8" t="s">
        <v>26</v>
      </c>
      <c r="H86" s="8" t="s">
        <v>27</v>
      </c>
      <c r="I86" s="5">
        <v>13</v>
      </c>
      <c r="J86" s="10">
        <v>4989</v>
      </c>
      <c r="K86" s="10">
        <v>64857</v>
      </c>
      <c r="L86" s="10">
        <v>35681.99</v>
      </c>
      <c r="M86" s="10">
        <v>29175.01</v>
      </c>
      <c r="N86" s="8" t="s">
        <v>28</v>
      </c>
      <c r="O86" s="8" t="s">
        <v>33</v>
      </c>
      <c r="P86" s="8" t="s">
        <v>29</v>
      </c>
      <c r="Q86" s="3">
        <f t="shared" si="2"/>
        <v>0.44983594677521316</v>
      </c>
      <c r="R86" s="8" t="str" cm="1">
        <f t="array" ref="R86">_xlfn.IFS(Q86&gt;40%,"Alta",Q86&gt;20%,"Média",Q86&lt;20%,"Baixa")</f>
        <v>Alta</v>
      </c>
    </row>
    <row r="87" spans="1:18" x14ac:dyDescent="0.25">
      <c r="A87" s="5">
        <v>588</v>
      </c>
      <c r="B87" s="6">
        <v>45838</v>
      </c>
      <c r="C87" s="8" t="s">
        <v>47</v>
      </c>
      <c r="D87" s="8" t="s">
        <v>30</v>
      </c>
      <c r="E87" s="8" t="s">
        <v>37</v>
      </c>
      <c r="F87" s="5">
        <v>8727</v>
      </c>
      <c r="G87" s="8" t="s">
        <v>26</v>
      </c>
      <c r="H87" s="8" t="s">
        <v>20</v>
      </c>
      <c r="I87" s="5">
        <v>18</v>
      </c>
      <c r="J87" s="10">
        <v>3581</v>
      </c>
      <c r="K87" s="10">
        <v>64458</v>
      </c>
      <c r="L87" s="10">
        <v>35181.1</v>
      </c>
      <c r="M87" s="10">
        <v>29276.9</v>
      </c>
      <c r="N87" s="8" t="s">
        <v>32</v>
      </c>
      <c r="O87" s="8" t="s">
        <v>22</v>
      </c>
      <c r="P87" s="8" t="s">
        <v>44</v>
      </c>
      <c r="Q87" s="3">
        <f t="shared" si="2"/>
        <v>0.45420118526792641</v>
      </c>
      <c r="R87" s="8" t="str" cm="1">
        <f t="array" ref="R87">_xlfn.IFS(Q87&gt;40%,"Alta",Q87&gt;20%,"Média",Q87&lt;20%,"Baixa")</f>
        <v>Alta</v>
      </c>
    </row>
    <row r="88" spans="1:18" x14ac:dyDescent="0.25">
      <c r="A88" s="5">
        <v>141</v>
      </c>
      <c r="B88" s="6">
        <v>45819</v>
      </c>
      <c r="C88" s="8" t="s">
        <v>24</v>
      </c>
      <c r="D88" s="8" t="s">
        <v>45</v>
      </c>
      <c r="E88" s="8" t="s">
        <v>18</v>
      </c>
      <c r="F88" s="5">
        <v>8164</v>
      </c>
      <c r="G88" s="8" t="s">
        <v>26</v>
      </c>
      <c r="H88" s="8" t="s">
        <v>31</v>
      </c>
      <c r="I88" s="5">
        <v>17</v>
      </c>
      <c r="J88" s="10">
        <v>3775</v>
      </c>
      <c r="K88" s="10">
        <v>64175</v>
      </c>
      <c r="L88" s="10">
        <v>47242.67</v>
      </c>
      <c r="M88" s="10">
        <v>16932.330000000002</v>
      </c>
      <c r="N88" s="8" t="s">
        <v>32</v>
      </c>
      <c r="O88" s="8" t="s">
        <v>39</v>
      </c>
      <c r="P88" s="8" t="s">
        <v>40</v>
      </c>
      <c r="Q88" s="3">
        <f t="shared" si="2"/>
        <v>0.2638462017919751</v>
      </c>
      <c r="R88" s="8" t="str" cm="1">
        <f t="array" ref="R88">_xlfn.IFS(Q88&gt;40%,"Alta",Q88&gt;20%,"Média",Q88&lt;20%,"Baixa")</f>
        <v>Média</v>
      </c>
    </row>
    <row r="89" spans="1:18" x14ac:dyDescent="0.25">
      <c r="A89" s="5">
        <v>114</v>
      </c>
      <c r="B89" s="6">
        <v>45785</v>
      </c>
      <c r="C89" s="8" t="s">
        <v>24</v>
      </c>
      <c r="D89" s="8" t="s">
        <v>17</v>
      </c>
      <c r="E89" s="8" t="s">
        <v>41</v>
      </c>
      <c r="F89" s="5">
        <v>4347</v>
      </c>
      <c r="G89" s="8" t="s">
        <v>36</v>
      </c>
      <c r="H89" s="8" t="s">
        <v>31</v>
      </c>
      <c r="I89" s="5">
        <v>20</v>
      </c>
      <c r="J89" s="10">
        <v>3208</v>
      </c>
      <c r="K89" s="10">
        <v>64160</v>
      </c>
      <c r="L89" s="10">
        <v>44870.86</v>
      </c>
      <c r="M89" s="10">
        <v>19289.14</v>
      </c>
      <c r="N89" s="8" t="s">
        <v>28</v>
      </c>
      <c r="O89" s="8" t="s">
        <v>22</v>
      </c>
      <c r="P89" s="8" t="s">
        <v>44</v>
      </c>
      <c r="Q89" s="3">
        <f t="shared" si="2"/>
        <v>0.30064120947630923</v>
      </c>
      <c r="R89" s="8" t="str" cm="1">
        <f t="array" ref="R89">_xlfn.IFS(Q89&gt;40%,"Alta",Q89&gt;20%,"Média",Q89&lt;20%,"Baixa")</f>
        <v>Média</v>
      </c>
    </row>
    <row r="90" spans="1:18" x14ac:dyDescent="0.25">
      <c r="A90" s="5">
        <v>208</v>
      </c>
      <c r="B90" s="6">
        <v>45805</v>
      </c>
      <c r="C90" s="8" t="s">
        <v>16</v>
      </c>
      <c r="D90" s="8" t="s">
        <v>17</v>
      </c>
      <c r="E90" s="8" t="s">
        <v>18</v>
      </c>
      <c r="F90" s="5">
        <v>1626</v>
      </c>
      <c r="G90" s="8" t="s">
        <v>19</v>
      </c>
      <c r="H90" s="8" t="s">
        <v>27</v>
      </c>
      <c r="I90" s="5">
        <v>15</v>
      </c>
      <c r="J90" s="10">
        <v>4271</v>
      </c>
      <c r="K90" s="10">
        <v>64065</v>
      </c>
      <c r="L90" s="10">
        <v>44948.49</v>
      </c>
      <c r="M90" s="10">
        <v>19116.509999999998</v>
      </c>
      <c r="N90" s="8" t="s">
        <v>21</v>
      </c>
      <c r="O90" s="8" t="s">
        <v>33</v>
      </c>
      <c r="P90" s="8" t="s">
        <v>46</v>
      </c>
      <c r="Q90" s="3">
        <f t="shared" si="2"/>
        <v>0.29839241395457738</v>
      </c>
      <c r="R90" s="8" t="str" cm="1">
        <f t="array" ref="R90">_xlfn.IFS(Q90&gt;40%,"Alta",Q90&gt;20%,"Média",Q90&lt;20%,"Baixa")</f>
        <v>Média</v>
      </c>
    </row>
    <row r="91" spans="1:18" x14ac:dyDescent="0.25">
      <c r="A91" s="5">
        <v>804</v>
      </c>
      <c r="B91" s="6">
        <v>45669</v>
      </c>
      <c r="C91" s="8" t="s">
        <v>24</v>
      </c>
      <c r="D91" s="8" t="s">
        <v>30</v>
      </c>
      <c r="E91" s="8" t="s">
        <v>18</v>
      </c>
      <c r="F91" s="5">
        <v>9227</v>
      </c>
      <c r="G91" s="8" t="s">
        <v>36</v>
      </c>
      <c r="H91" s="8" t="s">
        <v>31</v>
      </c>
      <c r="I91" s="5">
        <v>19</v>
      </c>
      <c r="J91" s="10">
        <v>3364</v>
      </c>
      <c r="K91" s="10">
        <v>63916</v>
      </c>
      <c r="L91" s="10">
        <v>27708.74</v>
      </c>
      <c r="M91" s="10">
        <v>36207.26</v>
      </c>
      <c r="N91" s="8" t="s">
        <v>21</v>
      </c>
      <c r="O91" s="8" t="s">
        <v>22</v>
      </c>
      <c r="P91" s="8" t="s">
        <v>46</v>
      </c>
      <c r="Q91" s="3">
        <f t="shared" si="2"/>
        <v>0.56648194505288196</v>
      </c>
      <c r="R91" s="8" t="str" cm="1">
        <f t="array" ref="R91">_xlfn.IFS(Q91&gt;40%,"Alta",Q91&gt;20%,"Média",Q91&lt;20%,"Baixa")</f>
        <v>Alta</v>
      </c>
    </row>
    <row r="92" spans="1:18" x14ac:dyDescent="0.25">
      <c r="A92" s="5">
        <v>485</v>
      </c>
      <c r="B92" s="6">
        <v>45713</v>
      </c>
      <c r="C92" s="8" t="s">
        <v>24</v>
      </c>
      <c r="D92" s="8" t="s">
        <v>42</v>
      </c>
      <c r="E92" s="8" t="s">
        <v>37</v>
      </c>
      <c r="F92" s="5">
        <v>8756</v>
      </c>
      <c r="G92" s="8" t="s">
        <v>36</v>
      </c>
      <c r="H92" s="8" t="s">
        <v>20</v>
      </c>
      <c r="I92" s="5">
        <v>20</v>
      </c>
      <c r="J92" s="10">
        <v>3193</v>
      </c>
      <c r="K92" s="10">
        <v>63860</v>
      </c>
      <c r="L92" s="10">
        <v>48413.73</v>
      </c>
      <c r="M92" s="10">
        <v>15446.27</v>
      </c>
      <c r="N92" s="8" t="s">
        <v>32</v>
      </c>
      <c r="O92" s="8" t="s">
        <v>39</v>
      </c>
      <c r="P92" s="8" t="s">
        <v>40</v>
      </c>
      <c r="Q92" s="3">
        <f t="shared" si="2"/>
        <v>0.24187707485123708</v>
      </c>
      <c r="R92" s="8" t="str" cm="1">
        <f t="array" ref="R92">_xlfn.IFS(Q92&gt;40%,"Alta",Q92&gt;20%,"Média",Q92&lt;20%,"Baixa")</f>
        <v>Média</v>
      </c>
    </row>
    <row r="93" spans="1:18" x14ac:dyDescent="0.25">
      <c r="A93" s="5">
        <v>197</v>
      </c>
      <c r="B93" s="6">
        <v>45743</v>
      </c>
      <c r="C93" s="8" t="s">
        <v>24</v>
      </c>
      <c r="D93" s="8" t="s">
        <v>35</v>
      </c>
      <c r="E93" s="8" t="s">
        <v>18</v>
      </c>
      <c r="F93" s="5">
        <v>9044</v>
      </c>
      <c r="G93" s="8" t="s">
        <v>19</v>
      </c>
      <c r="H93" s="8" t="s">
        <v>20</v>
      </c>
      <c r="I93" s="5">
        <v>14</v>
      </c>
      <c r="J93" s="10">
        <v>4545</v>
      </c>
      <c r="K93" s="10">
        <v>63630</v>
      </c>
      <c r="L93" s="10">
        <v>36579.07</v>
      </c>
      <c r="M93" s="10">
        <v>27050.93</v>
      </c>
      <c r="N93" s="8" t="s">
        <v>28</v>
      </c>
      <c r="O93" s="8" t="s">
        <v>39</v>
      </c>
      <c r="P93" s="8" t="s">
        <v>23</v>
      </c>
      <c r="Q93" s="3">
        <f t="shared" si="2"/>
        <v>0.42512855571271413</v>
      </c>
      <c r="R93" s="8" t="str" cm="1">
        <f t="array" ref="R93">_xlfn.IFS(Q93&gt;40%,"Alta",Q93&gt;20%,"Média",Q93&lt;20%,"Baixa")</f>
        <v>Alta</v>
      </c>
    </row>
    <row r="94" spans="1:18" x14ac:dyDescent="0.25">
      <c r="A94" s="5">
        <v>256</v>
      </c>
      <c r="B94" s="6">
        <v>45665</v>
      </c>
      <c r="C94" s="8" t="s">
        <v>47</v>
      </c>
      <c r="D94" s="8" t="s">
        <v>42</v>
      </c>
      <c r="E94" s="8" t="s">
        <v>37</v>
      </c>
      <c r="F94" s="5">
        <v>7916</v>
      </c>
      <c r="G94" s="8" t="s">
        <v>36</v>
      </c>
      <c r="H94" s="8" t="s">
        <v>20</v>
      </c>
      <c r="I94" s="5">
        <v>13</v>
      </c>
      <c r="J94" s="10">
        <v>4882</v>
      </c>
      <c r="K94" s="10">
        <v>63466</v>
      </c>
      <c r="L94" s="10">
        <v>47096.54</v>
      </c>
      <c r="M94" s="10">
        <v>16369.46</v>
      </c>
      <c r="N94" s="8" t="s">
        <v>21</v>
      </c>
      <c r="O94" s="8" t="s">
        <v>33</v>
      </c>
      <c r="P94" s="8" t="s">
        <v>40</v>
      </c>
      <c r="Q94" s="3">
        <f t="shared" si="2"/>
        <v>0.25792487316043233</v>
      </c>
      <c r="R94" s="8" t="str" cm="1">
        <f t="array" ref="R94">_xlfn.IFS(Q94&gt;40%,"Alta",Q94&gt;20%,"Média",Q94&lt;20%,"Baixa")</f>
        <v>Média</v>
      </c>
    </row>
    <row r="95" spans="1:18" x14ac:dyDescent="0.25">
      <c r="A95" s="5">
        <v>576</v>
      </c>
      <c r="B95" s="6">
        <v>45757</v>
      </c>
      <c r="C95" s="8" t="s">
        <v>47</v>
      </c>
      <c r="D95" s="8" t="s">
        <v>30</v>
      </c>
      <c r="E95" s="8" t="s">
        <v>25</v>
      </c>
      <c r="F95" s="5">
        <v>7322</v>
      </c>
      <c r="G95" s="8" t="s">
        <v>26</v>
      </c>
      <c r="H95" s="8" t="s">
        <v>20</v>
      </c>
      <c r="I95" s="5">
        <v>17</v>
      </c>
      <c r="J95" s="10">
        <v>3715</v>
      </c>
      <c r="K95" s="10">
        <v>63155</v>
      </c>
      <c r="L95" s="10">
        <v>41617.25</v>
      </c>
      <c r="M95" s="10">
        <v>21537.75</v>
      </c>
      <c r="N95" s="8" t="s">
        <v>32</v>
      </c>
      <c r="O95" s="8" t="s">
        <v>39</v>
      </c>
      <c r="P95" s="8" t="s">
        <v>46</v>
      </c>
      <c r="Q95" s="3">
        <f t="shared" si="2"/>
        <v>0.34103000554192064</v>
      </c>
      <c r="R95" s="8" t="str" cm="1">
        <f t="array" ref="R95">_xlfn.IFS(Q95&gt;40%,"Alta",Q95&gt;20%,"Média",Q95&lt;20%,"Baixa")</f>
        <v>Média</v>
      </c>
    </row>
    <row r="96" spans="1:18" x14ac:dyDescent="0.25">
      <c r="A96" s="5">
        <v>926</v>
      </c>
      <c r="B96" s="6">
        <v>45812</v>
      </c>
      <c r="C96" s="8" t="s">
        <v>16</v>
      </c>
      <c r="D96" s="8" t="s">
        <v>42</v>
      </c>
      <c r="E96" s="8" t="s">
        <v>37</v>
      </c>
      <c r="F96" s="5">
        <v>3739</v>
      </c>
      <c r="G96" s="8" t="s">
        <v>26</v>
      </c>
      <c r="H96" s="8" t="s">
        <v>31</v>
      </c>
      <c r="I96" s="5">
        <v>18</v>
      </c>
      <c r="J96" s="10">
        <v>3503</v>
      </c>
      <c r="K96" s="10">
        <v>63054</v>
      </c>
      <c r="L96" s="10">
        <v>41070.76</v>
      </c>
      <c r="M96" s="10">
        <v>21983.24</v>
      </c>
      <c r="N96" s="8" t="s">
        <v>28</v>
      </c>
      <c r="O96" s="8" t="s">
        <v>33</v>
      </c>
      <c r="P96" s="8" t="s">
        <v>29</v>
      </c>
      <c r="Q96" s="3">
        <f t="shared" si="2"/>
        <v>0.34864148190439942</v>
      </c>
      <c r="R96" s="8" t="str" cm="1">
        <f t="array" ref="R96">_xlfn.IFS(Q96&gt;40%,"Alta",Q96&gt;20%,"Média",Q96&lt;20%,"Baixa")</f>
        <v>Média</v>
      </c>
    </row>
    <row r="97" spans="1:18" x14ac:dyDescent="0.25">
      <c r="A97" s="5">
        <v>151</v>
      </c>
      <c r="B97" s="6">
        <v>45679</v>
      </c>
      <c r="C97" s="8" t="s">
        <v>34</v>
      </c>
      <c r="D97" s="8" t="s">
        <v>45</v>
      </c>
      <c r="E97" s="8" t="s">
        <v>25</v>
      </c>
      <c r="F97" s="5">
        <v>8858</v>
      </c>
      <c r="G97" s="8" t="s">
        <v>36</v>
      </c>
      <c r="H97" s="8" t="s">
        <v>43</v>
      </c>
      <c r="I97" s="5">
        <v>14</v>
      </c>
      <c r="J97" s="10">
        <v>4500</v>
      </c>
      <c r="K97" s="10">
        <v>63000</v>
      </c>
      <c r="L97" s="10">
        <v>39327.660000000003</v>
      </c>
      <c r="M97" s="10">
        <v>23672.34</v>
      </c>
      <c r="N97" s="8" t="s">
        <v>32</v>
      </c>
      <c r="O97" s="8" t="s">
        <v>33</v>
      </c>
      <c r="P97" s="8" t="s">
        <v>40</v>
      </c>
      <c r="Q97" s="3">
        <f t="shared" si="2"/>
        <v>0.37575142857142857</v>
      </c>
      <c r="R97" s="8" t="str" cm="1">
        <f t="array" ref="R97">_xlfn.IFS(Q97&gt;40%,"Alta",Q97&gt;20%,"Média",Q97&lt;20%,"Baixa")</f>
        <v>Média</v>
      </c>
    </row>
    <row r="98" spans="1:18" x14ac:dyDescent="0.25">
      <c r="A98" s="5">
        <v>117</v>
      </c>
      <c r="B98" s="6">
        <v>45743</v>
      </c>
      <c r="C98" s="8" t="s">
        <v>47</v>
      </c>
      <c r="D98" s="8" t="s">
        <v>35</v>
      </c>
      <c r="E98" s="8" t="s">
        <v>37</v>
      </c>
      <c r="F98" s="5">
        <v>1537</v>
      </c>
      <c r="G98" s="8" t="s">
        <v>26</v>
      </c>
      <c r="H98" s="8" t="s">
        <v>20</v>
      </c>
      <c r="I98" s="5">
        <v>14</v>
      </c>
      <c r="J98" s="10">
        <v>4494</v>
      </c>
      <c r="K98" s="10">
        <v>62916</v>
      </c>
      <c r="L98" s="10">
        <v>43755.71</v>
      </c>
      <c r="M98" s="10">
        <v>19160.29</v>
      </c>
      <c r="N98" s="8" t="s">
        <v>21</v>
      </c>
      <c r="O98" s="8" t="s">
        <v>39</v>
      </c>
      <c r="P98" s="8" t="s">
        <v>46</v>
      </c>
      <c r="Q98" s="3">
        <f t="shared" si="2"/>
        <v>0.30453763748490054</v>
      </c>
      <c r="R98" s="8" t="str" cm="1">
        <f t="array" ref="R98">_xlfn.IFS(Q98&gt;40%,"Alta",Q98&gt;20%,"Média",Q98&lt;20%,"Baixa")</f>
        <v>Média</v>
      </c>
    </row>
    <row r="99" spans="1:18" x14ac:dyDescent="0.25">
      <c r="A99" s="5">
        <v>116</v>
      </c>
      <c r="B99" s="6">
        <v>45820</v>
      </c>
      <c r="C99" s="8" t="s">
        <v>47</v>
      </c>
      <c r="D99" s="8" t="s">
        <v>35</v>
      </c>
      <c r="E99" s="8" t="s">
        <v>41</v>
      </c>
      <c r="F99" s="5">
        <v>6229</v>
      </c>
      <c r="G99" s="8" t="s">
        <v>26</v>
      </c>
      <c r="H99" s="8" t="s">
        <v>38</v>
      </c>
      <c r="I99" s="5">
        <v>16</v>
      </c>
      <c r="J99" s="10">
        <v>3919</v>
      </c>
      <c r="K99" s="10">
        <v>62704</v>
      </c>
      <c r="L99" s="10">
        <v>29624.99</v>
      </c>
      <c r="M99" s="10">
        <v>33079.01</v>
      </c>
      <c r="N99" s="8" t="s">
        <v>28</v>
      </c>
      <c r="O99" s="8" t="s">
        <v>22</v>
      </c>
      <c r="P99" s="8" t="s">
        <v>29</v>
      </c>
      <c r="Q99" s="3">
        <f t="shared" si="2"/>
        <v>0.52754226205664712</v>
      </c>
      <c r="R99" s="8" t="str" cm="1">
        <f t="array" ref="R99">_xlfn.IFS(Q99&gt;40%,"Alta",Q99&gt;20%,"Média",Q99&lt;20%,"Baixa")</f>
        <v>Alta</v>
      </c>
    </row>
    <row r="100" spans="1:18" x14ac:dyDescent="0.25">
      <c r="A100" s="5">
        <v>547</v>
      </c>
      <c r="B100" s="6">
        <v>45781</v>
      </c>
      <c r="C100" s="8" t="s">
        <v>24</v>
      </c>
      <c r="D100" s="8" t="s">
        <v>42</v>
      </c>
      <c r="E100" s="8" t="s">
        <v>37</v>
      </c>
      <c r="F100" s="5">
        <v>1029</v>
      </c>
      <c r="G100" s="8" t="s">
        <v>36</v>
      </c>
      <c r="H100" s="8" t="s">
        <v>38</v>
      </c>
      <c r="I100" s="5">
        <v>19</v>
      </c>
      <c r="J100" s="10">
        <v>3295</v>
      </c>
      <c r="K100" s="10">
        <v>62605</v>
      </c>
      <c r="L100" s="10">
        <v>35628.18</v>
      </c>
      <c r="M100" s="10">
        <v>26976.82</v>
      </c>
      <c r="N100" s="8" t="s">
        <v>28</v>
      </c>
      <c r="O100" s="8" t="s">
        <v>22</v>
      </c>
      <c r="P100" s="8" t="s">
        <v>23</v>
      </c>
      <c r="Q100" s="3">
        <f t="shared" si="2"/>
        <v>0.43090519926523441</v>
      </c>
      <c r="R100" s="8" t="str" cm="1">
        <f t="array" ref="R100">_xlfn.IFS(Q100&gt;40%,"Alta",Q100&gt;20%,"Média",Q100&lt;20%,"Baixa")</f>
        <v>Alta</v>
      </c>
    </row>
    <row r="101" spans="1:18" x14ac:dyDescent="0.25">
      <c r="A101" s="5">
        <v>412</v>
      </c>
      <c r="B101" s="6">
        <v>45684</v>
      </c>
      <c r="C101" s="8" t="s">
        <v>34</v>
      </c>
      <c r="D101" s="8" t="s">
        <v>35</v>
      </c>
      <c r="E101" s="8" t="s">
        <v>18</v>
      </c>
      <c r="F101" s="5">
        <v>6008</v>
      </c>
      <c r="G101" s="8" t="s">
        <v>26</v>
      </c>
      <c r="H101" s="8" t="s">
        <v>20</v>
      </c>
      <c r="I101" s="5">
        <v>15</v>
      </c>
      <c r="J101" s="10">
        <v>4151</v>
      </c>
      <c r="K101" s="10">
        <v>62265</v>
      </c>
      <c r="L101" s="10">
        <v>35269.26</v>
      </c>
      <c r="M101" s="10">
        <v>26995.74</v>
      </c>
      <c r="N101" s="8" t="s">
        <v>32</v>
      </c>
      <c r="O101" s="8" t="s">
        <v>22</v>
      </c>
      <c r="P101" s="8" t="s">
        <v>44</v>
      </c>
      <c r="Q101" s="3">
        <f t="shared" si="2"/>
        <v>0.43356203324500125</v>
      </c>
      <c r="R101" s="8" t="str" cm="1">
        <f t="array" ref="R101">_xlfn.IFS(Q101&gt;40%,"Alta",Q101&gt;20%,"Média",Q101&lt;20%,"Baixa")</f>
        <v>Alta</v>
      </c>
    </row>
    <row r="102" spans="1:18" x14ac:dyDescent="0.25">
      <c r="A102" s="5">
        <v>864</v>
      </c>
      <c r="B102" s="6">
        <v>45746</v>
      </c>
      <c r="C102" s="8" t="s">
        <v>34</v>
      </c>
      <c r="D102" s="8" t="s">
        <v>35</v>
      </c>
      <c r="E102" s="8" t="s">
        <v>37</v>
      </c>
      <c r="F102" s="5">
        <v>9620</v>
      </c>
      <c r="G102" s="8" t="s">
        <v>26</v>
      </c>
      <c r="H102" s="8" t="s">
        <v>43</v>
      </c>
      <c r="I102" s="5">
        <v>16</v>
      </c>
      <c r="J102" s="10">
        <v>3880</v>
      </c>
      <c r="K102" s="10">
        <v>62080</v>
      </c>
      <c r="L102" s="10">
        <v>39006.15</v>
      </c>
      <c r="M102" s="10">
        <v>23073.85</v>
      </c>
      <c r="N102" s="8" t="s">
        <v>32</v>
      </c>
      <c r="O102" s="8" t="s">
        <v>22</v>
      </c>
      <c r="P102" s="8" t="s">
        <v>46</v>
      </c>
      <c r="Q102" s="3">
        <f t="shared" si="2"/>
        <v>0.3716792847938144</v>
      </c>
      <c r="R102" s="8" t="str" cm="1">
        <f t="array" ref="R102">_xlfn.IFS(Q102&gt;40%,"Alta",Q102&gt;20%,"Média",Q102&lt;20%,"Baixa")</f>
        <v>Média</v>
      </c>
    </row>
    <row r="103" spans="1:18" x14ac:dyDescent="0.25">
      <c r="A103" s="5">
        <v>921</v>
      </c>
      <c r="B103" s="6">
        <v>45793</v>
      </c>
      <c r="C103" s="8" t="s">
        <v>16</v>
      </c>
      <c r="D103" s="8" t="s">
        <v>17</v>
      </c>
      <c r="E103" s="8" t="s">
        <v>25</v>
      </c>
      <c r="F103" s="5">
        <v>7932</v>
      </c>
      <c r="G103" s="8" t="s">
        <v>26</v>
      </c>
      <c r="H103" s="8" t="s">
        <v>31</v>
      </c>
      <c r="I103" s="5">
        <v>16</v>
      </c>
      <c r="J103" s="10">
        <v>3871</v>
      </c>
      <c r="K103" s="10">
        <v>61936</v>
      </c>
      <c r="L103" s="10">
        <v>37391.360000000001</v>
      </c>
      <c r="M103" s="10">
        <v>24544.639999999999</v>
      </c>
      <c r="N103" s="8" t="s">
        <v>21</v>
      </c>
      <c r="O103" s="8" t="s">
        <v>33</v>
      </c>
      <c r="P103" s="8" t="s">
        <v>40</v>
      </c>
      <c r="Q103" s="3">
        <f t="shared" si="2"/>
        <v>0.39629036424696462</v>
      </c>
      <c r="R103" s="8" t="str" cm="1">
        <f t="array" ref="R103">_xlfn.IFS(Q103&gt;40%,"Alta",Q103&gt;20%,"Média",Q103&lt;20%,"Baixa")</f>
        <v>Média</v>
      </c>
    </row>
    <row r="104" spans="1:18" x14ac:dyDescent="0.25">
      <c r="A104" s="5">
        <v>96</v>
      </c>
      <c r="B104" s="6">
        <v>45808</v>
      </c>
      <c r="C104" s="8" t="s">
        <v>34</v>
      </c>
      <c r="D104" s="8" t="s">
        <v>35</v>
      </c>
      <c r="E104" s="8" t="s">
        <v>25</v>
      </c>
      <c r="F104" s="5">
        <v>1861</v>
      </c>
      <c r="G104" s="8" t="s">
        <v>36</v>
      </c>
      <c r="H104" s="8" t="s">
        <v>43</v>
      </c>
      <c r="I104" s="5">
        <v>13</v>
      </c>
      <c r="J104" s="10">
        <v>4754</v>
      </c>
      <c r="K104" s="10">
        <v>61802</v>
      </c>
      <c r="L104" s="10">
        <v>32727.45</v>
      </c>
      <c r="M104" s="10">
        <v>29074.55</v>
      </c>
      <c r="N104" s="8" t="s">
        <v>21</v>
      </c>
      <c r="O104" s="8" t="s">
        <v>22</v>
      </c>
      <c r="P104" s="8" t="s">
        <v>46</v>
      </c>
      <c r="Q104" s="3">
        <f t="shared" si="2"/>
        <v>0.47044674929613928</v>
      </c>
      <c r="R104" s="8" t="str" cm="1">
        <f t="array" ref="R104">_xlfn.IFS(Q104&gt;40%,"Alta",Q104&gt;20%,"Média",Q104&lt;20%,"Baixa")</f>
        <v>Alta</v>
      </c>
    </row>
    <row r="105" spans="1:18" x14ac:dyDescent="0.25">
      <c r="A105" s="5">
        <v>493</v>
      </c>
      <c r="B105" s="6">
        <v>45747</v>
      </c>
      <c r="C105" s="8" t="s">
        <v>24</v>
      </c>
      <c r="D105" s="8" t="s">
        <v>30</v>
      </c>
      <c r="E105" s="8" t="s">
        <v>41</v>
      </c>
      <c r="F105" s="5">
        <v>4551</v>
      </c>
      <c r="G105" s="8" t="s">
        <v>26</v>
      </c>
      <c r="H105" s="8" t="s">
        <v>31</v>
      </c>
      <c r="I105" s="5">
        <v>16</v>
      </c>
      <c r="J105" s="10">
        <v>3845</v>
      </c>
      <c r="K105" s="10">
        <v>61520</v>
      </c>
      <c r="L105" s="10">
        <v>32903.42</v>
      </c>
      <c r="M105" s="10">
        <v>28616.58</v>
      </c>
      <c r="N105" s="8" t="s">
        <v>21</v>
      </c>
      <c r="O105" s="8" t="s">
        <v>39</v>
      </c>
      <c r="P105" s="8" t="s">
        <v>46</v>
      </c>
      <c r="Q105" s="3">
        <f t="shared" si="2"/>
        <v>0.46515897269180756</v>
      </c>
      <c r="R105" s="8" t="str" cm="1">
        <f t="array" ref="R105">_xlfn.IFS(Q105&gt;40%,"Alta",Q105&gt;20%,"Média",Q105&lt;20%,"Baixa")</f>
        <v>Alta</v>
      </c>
    </row>
    <row r="106" spans="1:18" x14ac:dyDescent="0.25">
      <c r="A106" s="5">
        <v>711</v>
      </c>
      <c r="B106" s="6">
        <v>45707</v>
      </c>
      <c r="C106" s="8" t="s">
        <v>16</v>
      </c>
      <c r="D106" s="8" t="s">
        <v>45</v>
      </c>
      <c r="E106" s="8" t="s">
        <v>25</v>
      </c>
      <c r="F106" s="5">
        <v>3786</v>
      </c>
      <c r="G106" s="8" t="s">
        <v>36</v>
      </c>
      <c r="H106" s="8" t="s">
        <v>38</v>
      </c>
      <c r="I106" s="5">
        <v>18</v>
      </c>
      <c r="J106" s="10">
        <v>3389</v>
      </c>
      <c r="K106" s="10">
        <v>61002</v>
      </c>
      <c r="L106" s="10">
        <v>42824.11</v>
      </c>
      <c r="M106" s="10">
        <v>18177.89</v>
      </c>
      <c r="N106" s="8" t="s">
        <v>21</v>
      </c>
      <c r="O106" s="8" t="s">
        <v>22</v>
      </c>
      <c r="P106" s="8" t="s">
        <v>23</v>
      </c>
      <c r="Q106" s="3">
        <f t="shared" si="2"/>
        <v>0.29798842660896363</v>
      </c>
      <c r="R106" s="8" t="str" cm="1">
        <f t="array" ref="R106">_xlfn.IFS(Q106&gt;40%,"Alta",Q106&gt;20%,"Média",Q106&lt;20%,"Baixa")</f>
        <v>Média</v>
      </c>
    </row>
    <row r="107" spans="1:18" x14ac:dyDescent="0.25">
      <c r="A107" s="5">
        <v>331</v>
      </c>
      <c r="B107" s="6">
        <v>45680</v>
      </c>
      <c r="C107" s="8" t="s">
        <v>16</v>
      </c>
      <c r="D107" s="8" t="s">
        <v>30</v>
      </c>
      <c r="E107" s="8" t="s">
        <v>18</v>
      </c>
      <c r="F107" s="5">
        <v>8541</v>
      </c>
      <c r="G107" s="8" t="s">
        <v>19</v>
      </c>
      <c r="H107" s="8" t="s">
        <v>38</v>
      </c>
      <c r="I107" s="5">
        <v>16</v>
      </c>
      <c r="J107" s="10">
        <v>3805</v>
      </c>
      <c r="K107" s="10">
        <v>60880</v>
      </c>
      <c r="L107" s="10">
        <v>36478.589999999997</v>
      </c>
      <c r="M107" s="10">
        <v>24401.41</v>
      </c>
      <c r="N107" s="8" t="s">
        <v>21</v>
      </c>
      <c r="O107" s="8" t="s">
        <v>22</v>
      </c>
      <c r="P107" s="8" t="s">
        <v>46</v>
      </c>
      <c r="Q107" s="3">
        <f t="shared" si="2"/>
        <v>0.40081159658344284</v>
      </c>
      <c r="R107" s="8" t="str" cm="1">
        <f t="array" ref="R107">_xlfn.IFS(Q107&gt;40%,"Alta",Q107&gt;20%,"Média",Q107&lt;20%,"Baixa")</f>
        <v>Alta</v>
      </c>
    </row>
    <row r="108" spans="1:18" x14ac:dyDescent="0.25">
      <c r="A108" s="5">
        <v>728</v>
      </c>
      <c r="B108" s="6">
        <v>45685</v>
      </c>
      <c r="C108" s="8" t="s">
        <v>34</v>
      </c>
      <c r="D108" s="8" t="s">
        <v>42</v>
      </c>
      <c r="E108" s="8" t="s">
        <v>25</v>
      </c>
      <c r="F108" s="5">
        <v>5989</v>
      </c>
      <c r="G108" s="8" t="s">
        <v>36</v>
      </c>
      <c r="H108" s="8" t="s">
        <v>20</v>
      </c>
      <c r="I108" s="5">
        <v>14</v>
      </c>
      <c r="J108" s="10">
        <v>4333</v>
      </c>
      <c r="K108" s="10">
        <v>60662</v>
      </c>
      <c r="L108" s="10">
        <v>25449.08</v>
      </c>
      <c r="M108" s="10">
        <v>35212.92</v>
      </c>
      <c r="N108" s="8" t="s">
        <v>21</v>
      </c>
      <c r="O108" s="8" t="s">
        <v>33</v>
      </c>
      <c r="P108" s="8" t="s">
        <v>23</v>
      </c>
      <c r="Q108" s="3">
        <f t="shared" si="2"/>
        <v>0.58047739936039033</v>
      </c>
      <c r="R108" s="8" t="str" cm="1">
        <f t="array" ref="R108">_xlfn.IFS(Q108&gt;40%,"Alta",Q108&gt;20%,"Média",Q108&lt;20%,"Baixa")</f>
        <v>Alta</v>
      </c>
    </row>
    <row r="109" spans="1:18" x14ac:dyDescent="0.25">
      <c r="A109" s="5">
        <v>774</v>
      </c>
      <c r="B109" s="6">
        <v>45779</v>
      </c>
      <c r="C109" s="8" t="s">
        <v>16</v>
      </c>
      <c r="D109" s="8" t="s">
        <v>45</v>
      </c>
      <c r="E109" s="8" t="s">
        <v>18</v>
      </c>
      <c r="F109" s="5">
        <v>6317</v>
      </c>
      <c r="G109" s="8" t="s">
        <v>36</v>
      </c>
      <c r="H109" s="8" t="s">
        <v>38</v>
      </c>
      <c r="I109" s="5">
        <v>20</v>
      </c>
      <c r="J109" s="10">
        <v>3016</v>
      </c>
      <c r="K109" s="10">
        <v>60320</v>
      </c>
      <c r="L109" s="10">
        <v>40624.199999999997</v>
      </c>
      <c r="M109" s="10">
        <v>19695.8</v>
      </c>
      <c r="N109" s="8" t="s">
        <v>32</v>
      </c>
      <c r="O109" s="8" t="s">
        <v>33</v>
      </c>
      <c r="P109" s="8" t="s">
        <v>29</v>
      </c>
      <c r="Q109" s="3">
        <f t="shared" si="2"/>
        <v>0.32652188328912468</v>
      </c>
      <c r="R109" s="8" t="str" cm="1">
        <f t="array" ref="R109">_xlfn.IFS(Q109&gt;40%,"Alta",Q109&gt;20%,"Média",Q109&lt;20%,"Baixa")</f>
        <v>Média</v>
      </c>
    </row>
    <row r="110" spans="1:18" x14ac:dyDescent="0.25">
      <c r="A110" s="5">
        <v>257</v>
      </c>
      <c r="B110" s="6">
        <v>45719</v>
      </c>
      <c r="C110" s="8" t="s">
        <v>34</v>
      </c>
      <c r="D110" s="8" t="s">
        <v>42</v>
      </c>
      <c r="E110" s="8" t="s">
        <v>37</v>
      </c>
      <c r="F110" s="5">
        <v>4197</v>
      </c>
      <c r="G110" s="8" t="s">
        <v>19</v>
      </c>
      <c r="H110" s="8" t="s">
        <v>20</v>
      </c>
      <c r="I110" s="5">
        <v>18</v>
      </c>
      <c r="J110" s="10">
        <v>3342</v>
      </c>
      <c r="K110" s="10">
        <v>60156</v>
      </c>
      <c r="L110" s="10">
        <v>36191.69</v>
      </c>
      <c r="M110" s="10">
        <v>23964.31</v>
      </c>
      <c r="N110" s="8" t="s">
        <v>28</v>
      </c>
      <c r="O110" s="8" t="s">
        <v>33</v>
      </c>
      <c r="P110" s="8" t="s">
        <v>23</v>
      </c>
      <c r="Q110" s="3">
        <f t="shared" si="2"/>
        <v>0.39836940621051936</v>
      </c>
      <c r="R110" s="8" t="str" cm="1">
        <f t="array" ref="R110">_xlfn.IFS(Q110&gt;40%,"Alta",Q110&gt;20%,"Média",Q110&lt;20%,"Baixa")</f>
        <v>Média</v>
      </c>
    </row>
    <row r="111" spans="1:18" x14ac:dyDescent="0.25">
      <c r="A111" s="5">
        <v>108</v>
      </c>
      <c r="B111" s="6">
        <v>45767</v>
      </c>
      <c r="C111" s="8" t="s">
        <v>47</v>
      </c>
      <c r="D111" s="8" t="s">
        <v>30</v>
      </c>
      <c r="E111" s="8" t="s">
        <v>37</v>
      </c>
      <c r="F111" s="5">
        <v>3497</v>
      </c>
      <c r="G111" s="8" t="s">
        <v>19</v>
      </c>
      <c r="H111" s="8" t="s">
        <v>43</v>
      </c>
      <c r="I111" s="5">
        <v>13</v>
      </c>
      <c r="J111" s="10">
        <v>4613</v>
      </c>
      <c r="K111" s="10">
        <v>59969</v>
      </c>
      <c r="L111" s="10">
        <v>40773.879999999997</v>
      </c>
      <c r="M111" s="10">
        <v>19195.12</v>
      </c>
      <c r="N111" s="8" t="s">
        <v>28</v>
      </c>
      <c r="O111" s="8" t="s">
        <v>22</v>
      </c>
      <c r="P111" s="8" t="s">
        <v>46</v>
      </c>
      <c r="Q111" s="3">
        <f t="shared" si="2"/>
        <v>0.32008404342243491</v>
      </c>
      <c r="R111" s="8" t="str" cm="1">
        <f t="array" ref="R111">_xlfn.IFS(Q111&gt;40%,"Alta",Q111&gt;20%,"Média",Q111&lt;20%,"Baixa")</f>
        <v>Média</v>
      </c>
    </row>
    <row r="112" spans="1:18" x14ac:dyDescent="0.25">
      <c r="A112" s="5">
        <v>161</v>
      </c>
      <c r="B112" s="6">
        <v>45716</v>
      </c>
      <c r="C112" s="8" t="s">
        <v>34</v>
      </c>
      <c r="D112" s="8" t="s">
        <v>45</v>
      </c>
      <c r="E112" s="8" t="s">
        <v>41</v>
      </c>
      <c r="F112" s="5">
        <v>2376</v>
      </c>
      <c r="G112" s="8" t="s">
        <v>26</v>
      </c>
      <c r="H112" s="8" t="s">
        <v>20</v>
      </c>
      <c r="I112" s="5">
        <v>16</v>
      </c>
      <c r="J112" s="10">
        <v>3726</v>
      </c>
      <c r="K112" s="10">
        <v>59616</v>
      </c>
      <c r="L112" s="10">
        <v>28724.84</v>
      </c>
      <c r="M112" s="10">
        <v>30891.16</v>
      </c>
      <c r="N112" s="8" t="s">
        <v>32</v>
      </c>
      <c r="O112" s="8" t="s">
        <v>33</v>
      </c>
      <c r="P112" s="8" t="s">
        <v>23</v>
      </c>
      <c r="Q112" s="3">
        <f t="shared" si="2"/>
        <v>0.5181689479334407</v>
      </c>
      <c r="R112" s="8" t="str" cm="1">
        <f t="array" ref="R112">_xlfn.IFS(Q112&gt;40%,"Alta",Q112&gt;20%,"Média",Q112&lt;20%,"Baixa")</f>
        <v>Alta</v>
      </c>
    </row>
    <row r="113" spans="1:18" x14ac:dyDescent="0.25">
      <c r="A113" s="5">
        <v>210</v>
      </c>
      <c r="B113" s="6">
        <v>45781</v>
      </c>
      <c r="C113" s="8" t="s">
        <v>34</v>
      </c>
      <c r="D113" s="8" t="s">
        <v>35</v>
      </c>
      <c r="E113" s="8" t="s">
        <v>25</v>
      </c>
      <c r="F113" s="5">
        <v>4420</v>
      </c>
      <c r="G113" s="8" t="s">
        <v>19</v>
      </c>
      <c r="H113" s="8" t="s">
        <v>31</v>
      </c>
      <c r="I113" s="5">
        <v>15</v>
      </c>
      <c r="J113" s="10">
        <v>3925</v>
      </c>
      <c r="K113" s="10">
        <v>58875</v>
      </c>
      <c r="L113" s="10">
        <v>28731.279999999999</v>
      </c>
      <c r="M113" s="10">
        <v>30143.72</v>
      </c>
      <c r="N113" s="8" t="s">
        <v>28</v>
      </c>
      <c r="O113" s="8" t="s">
        <v>33</v>
      </c>
      <c r="P113" s="8" t="s">
        <v>44</v>
      </c>
      <c r="Q113" s="3">
        <f t="shared" si="2"/>
        <v>0.51199524416135878</v>
      </c>
      <c r="R113" s="8" t="str" cm="1">
        <f t="array" ref="R113">_xlfn.IFS(Q113&gt;40%,"Alta",Q113&gt;20%,"Média",Q113&lt;20%,"Baixa")</f>
        <v>Alta</v>
      </c>
    </row>
    <row r="114" spans="1:18" x14ac:dyDescent="0.25">
      <c r="A114" s="5">
        <v>316</v>
      </c>
      <c r="B114" s="6">
        <v>45665</v>
      </c>
      <c r="C114" s="8" t="s">
        <v>47</v>
      </c>
      <c r="D114" s="8" t="s">
        <v>17</v>
      </c>
      <c r="E114" s="8" t="s">
        <v>37</v>
      </c>
      <c r="F114" s="5">
        <v>8734</v>
      </c>
      <c r="G114" s="8" t="s">
        <v>26</v>
      </c>
      <c r="H114" s="8" t="s">
        <v>31</v>
      </c>
      <c r="I114" s="5">
        <v>12</v>
      </c>
      <c r="J114" s="10">
        <v>4863</v>
      </c>
      <c r="K114" s="10">
        <v>58356</v>
      </c>
      <c r="L114" s="10">
        <v>32772.07</v>
      </c>
      <c r="M114" s="10">
        <v>25583.93</v>
      </c>
      <c r="N114" s="8" t="s">
        <v>28</v>
      </c>
      <c r="O114" s="8" t="s">
        <v>39</v>
      </c>
      <c r="P114" s="8" t="s">
        <v>29</v>
      </c>
      <c r="Q114" s="3">
        <f t="shared" si="2"/>
        <v>0.43841130303653436</v>
      </c>
      <c r="R114" s="8" t="str" cm="1">
        <f t="array" ref="R114">_xlfn.IFS(Q114&gt;40%,"Alta",Q114&gt;20%,"Média",Q114&lt;20%,"Baixa")</f>
        <v>Alta</v>
      </c>
    </row>
    <row r="115" spans="1:18" x14ac:dyDescent="0.25">
      <c r="A115" s="5">
        <v>704</v>
      </c>
      <c r="B115" s="6">
        <v>45776</v>
      </c>
      <c r="C115" s="8" t="s">
        <v>16</v>
      </c>
      <c r="D115" s="8" t="s">
        <v>35</v>
      </c>
      <c r="E115" s="8" t="s">
        <v>41</v>
      </c>
      <c r="F115" s="5">
        <v>6590</v>
      </c>
      <c r="G115" s="8" t="s">
        <v>36</v>
      </c>
      <c r="H115" s="8" t="s">
        <v>31</v>
      </c>
      <c r="I115" s="5">
        <v>14</v>
      </c>
      <c r="J115" s="10">
        <v>4168</v>
      </c>
      <c r="K115" s="10">
        <v>58352</v>
      </c>
      <c r="L115" s="10">
        <v>41239.97</v>
      </c>
      <c r="M115" s="10">
        <v>17112.03</v>
      </c>
      <c r="N115" s="8" t="s">
        <v>32</v>
      </c>
      <c r="O115" s="8" t="s">
        <v>39</v>
      </c>
      <c r="P115" s="8" t="s">
        <v>29</v>
      </c>
      <c r="Q115" s="3">
        <f t="shared" si="2"/>
        <v>0.29325524403619413</v>
      </c>
      <c r="R115" s="8" t="str" cm="1">
        <f t="array" ref="R115">_xlfn.IFS(Q115&gt;40%,"Alta",Q115&gt;20%,"Média",Q115&lt;20%,"Baixa")</f>
        <v>Média</v>
      </c>
    </row>
    <row r="116" spans="1:18" x14ac:dyDescent="0.25">
      <c r="A116" s="5">
        <v>673</v>
      </c>
      <c r="B116" s="6">
        <v>45824</v>
      </c>
      <c r="C116" s="8" t="s">
        <v>16</v>
      </c>
      <c r="D116" s="8" t="s">
        <v>45</v>
      </c>
      <c r="E116" s="8" t="s">
        <v>18</v>
      </c>
      <c r="F116" s="5">
        <v>6570</v>
      </c>
      <c r="G116" s="8" t="s">
        <v>19</v>
      </c>
      <c r="H116" s="8" t="s">
        <v>43</v>
      </c>
      <c r="I116" s="5">
        <v>13</v>
      </c>
      <c r="J116" s="10">
        <v>4485</v>
      </c>
      <c r="K116" s="10">
        <v>58305</v>
      </c>
      <c r="L116" s="10">
        <v>28238.15</v>
      </c>
      <c r="M116" s="10">
        <v>30066.85</v>
      </c>
      <c r="N116" s="8" t="s">
        <v>21</v>
      </c>
      <c r="O116" s="8" t="s">
        <v>39</v>
      </c>
      <c r="P116" s="8" t="s">
        <v>44</v>
      </c>
      <c r="Q116" s="3">
        <f t="shared" si="2"/>
        <v>0.51568218849155301</v>
      </c>
      <c r="R116" s="8" t="str" cm="1">
        <f t="array" ref="R116">_xlfn.IFS(Q116&gt;40%,"Alta",Q116&gt;20%,"Média",Q116&lt;20%,"Baixa")</f>
        <v>Alta</v>
      </c>
    </row>
    <row r="117" spans="1:18" x14ac:dyDescent="0.25">
      <c r="A117" s="5">
        <v>956</v>
      </c>
      <c r="B117" s="6">
        <v>45658</v>
      </c>
      <c r="C117" s="8" t="s">
        <v>47</v>
      </c>
      <c r="D117" s="8" t="s">
        <v>17</v>
      </c>
      <c r="E117" s="8" t="s">
        <v>41</v>
      </c>
      <c r="F117" s="5">
        <v>2329</v>
      </c>
      <c r="G117" s="8" t="s">
        <v>36</v>
      </c>
      <c r="H117" s="8" t="s">
        <v>43</v>
      </c>
      <c r="I117" s="5">
        <v>14</v>
      </c>
      <c r="J117" s="10">
        <v>4164</v>
      </c>
      <c r="K117" s="10">
        <v>58296</v>
      </c>
      <c r="L117" s="10">
        <v>26829.67</v>
      </c>
      <c r="M117" s="10">
        <v>31466.33</v>
      </c>
      <c r="N117" s="8" t="s">
        <v>21</v>
      </c>
      <c r="O117" s="8" t="s">
        <v>39</v>
      </c>
      <c r="P117" s="8" t="s">
        <v>40</v>
      </c>
      <c r="Q117" s="3">
        <f t="shared" si="2"/>
        <v>0.53976825168107589</v>
      </c>
      <c r="R117" s="8" t="str" cm="1">
        <f t="array" ref="R117">_xlfn.IFS(Q117&gt;40%,"Alta",Q117&gt;20%,"Média",Q117&lt;20%,"Baixa")</f>
        <v>Alta</v>
      </c>
    </row>
    <row r="118" spans="1:18" x14ac:dyDescent="0.25">
      <c r="A118" s="5">
        <v>57</v>
      </c>
      <c r="B118" s="6">
        <v>45742</v>
      </c>
      <c r="C118" s="8" t="s">
        <v>24</v>
      </c>
      <c r="D118" s="8" t="s">
        <v>45</v>
      </c>
      <c r="E118" s="8" t="s">
        <v>41</v>
      </c>
      <c r="F118" s="5">
        <v>2313</v>
      </c>
      <c r="G118" s="8" t="s">
        <v>26</v>
      </c>
      <c r="H118" s="8" t="s">
        <v>38</v>
      </c>
      <c r="I118" s="5">
        <v>12</v>
      </c>
      <c r="J118" s="10">
        <v>4843</v>
      </c>
      <c r="K118" s="10">
        <v>58116</v>
      </c>
      <c r="L118" s="10">
        <v>44775.79</v>
      </c>
      <c r="M118" s="10">
        <v>13340.21</v>
      </c>
      <c r="N118" s="8" t="s">
        <v>32</v>
      </c>
      <c r="O118" s="8" t="s">
        <v>22</v>
      </c>
      <c r="P118" s="8" t="s">
        <v>46</v>
      </c>
      <c r="Q118" s="3">
        <f t="shared" si="2"/>
        <v>0.22954453162640234</v>
      </c>
      <c r="R118" s="8" t="str" cm="1">
        <f t="array" ref="R118">_xlfn.IFS(Q118&gt;40%,"Alta",Q118&gt;20%,"Média",Q118&lt;20%,"Baixa")</f>
        <v>Média</v>
      </c>
    </row>
    <row r="119" spans="1:18" x14ac:dyDescent="0.25">
      <c r="A119" s="5">
        <v>884</v>
      </c>
      <c r="B119" s="6">
        <v>45732</v>
      </c>
      <c r="C119" s="8" t="s">
        <v>16</v>
      </c>
      <c r="D119" s="8" t="s">
        <v>17</v>
      </c>
      <c r="E119" s="8" t="s">
        <v>41</v>
      </c>
      <c r="F119" s="5">
        <v>6382</v>
      </c>
      <c r="G119" s="8" t="s">
        <v>26</v>
      </c>
      <c r="H119" s="8" t="s">
        <v>20</v>
      </c>
      <c r="I119" s="5">
        <v>14</v>
      </c>
      <c r="J119" s="10">
        <v>4062</v>
      </c>
      <c r="K119" s="10">
        <v>56868</v>
      </c>
      <c r="L119" s="10">
        <v>42284.800000000003</v>
      </c>
      <c r="M119" s="10">
        <v>14583.2</v>
      </c>
      <c r="N119" s="8" t="s">
        <v>21</v>
      </c>
      <c r="O119" s="8" t="s">
        <v>39</v>
      </c>
      <c r="P119" s="8" t="s">
        <v>40</v>
      </c>
      <c r="Q119" s="3">
        <f t="shared" si="2"/>
        <v>0.25643947386931137</v>
      </c>
      <c r="R119" s="8" t="str" cm="1">
        <f t="array" ref="R119">_xlfn.IFS(Q119&gt;40%,"Alta",Q119&gt;20%,"Média",Q119&lt;20%,"Baixa")</f>
        <v>Média</v>
      </c>
    </row>
    <row r="120" spans="1:18" x14ac:dyDescent="0.25">
      <c r="A120" s="5">
        <v>905</v>
      </c>
      <c r="B120" s="6">
        <v>45797</v>
      </c>
      <c r="C120" s="8" t="s">
        <v>24</v>
      </c>
      <c r="D120" s="8" t="s">
        <v>42</v>
      </c>
      <c r="E120" s="8" t="s">
        <v>41</v>
      </c>
      <c r="F120" s="5">
        <v>1727</v>
      </c>
      <c r="G120" s="8" t="s">
        <v>19</v>
      </c>
      <c r="H120" s="8" t="s">
        <v>43</v>
      </c>
      <c r="I120" s="5">
        <v>13</v>
      </c>
      <c r="J120" s="10">
        <v>4355</v>
      </c>
      <c r="K120" s="10">
        <v>56615</v>
      </c>
      <c r="L120" s="10">
        <v>27954.53</v>
      </c>
      <c r="M120" s="10">
        <v>28660.47</v>
      </c>
      <c r="N120" s="8" t="s">
        <v>28</v>
      </c>
      <c r="O120" s="8" t="s">
        <v>22</v>
      </c>
      <c r="P120" s="8" t="s">
        <v>29</v>
      </c>
      <c r="Q120" s="3">
        <f t="shared" si="2"/>
        <v>0.50623456681091583</v>
      </c>
      <c r="R120" s="8" t="str" cm="1">
        <f t="array" ref="R120">_xlfn.IFS(Q120&gt;40%,"Alta",Q120&gt;20%,"Média",Q120&lt;20%,"Baixa")</f>
        <v>Alta</v>
      </c>
    </row>
    <row r="121" spans="1:18" x14ac:dyDescent="0.25">
      <c r="A121" s="5">
        <v>140</v>
      </c>
      <c r="B121" s="6">
        <v>45711</v>
      </c>
      <c r="C121" s="8" t="s">
        <v>16</v>
      </c>
      <c r="D121" s="8" t="s">
        <v>30</v>
      </c>
      <c r="E121" s="8" t="s">
        <v>25</v>
      </c>
      <c r="F121" s="5">
        <v>8003</v>
      </c>
      <c r="G121" s="8" t="s">
        <v>36</v>
      </c>
      <c r="H121" s="8" t="s">
        <v>20</v>
      </c>
      <c r="I121" s="5">
        <v>20</v>
      </c>
      <c r="J121" s="10">
        <v>2820</v>
      </c>
      <c r="K121" s="10">
        <v>56400</v>
      </c>
      <c r="L121" s="10">
        <v>23981.919999999998</v>
      </c>
      <c r="M121" s="10">
        <v>32418.080000000002</v>
      </c>
      <c r="N121" s="8" t="s">
        <v>28</v>
      </c>
      <c r="O121" s="8" t="s">
        <v>39</v>
      </c>
      <c r="P121" s="8" t="s">
        <v>44</v>
      </c>
      <c r="Q121" s="3">
        <f t="shared" si="2"/>
        <v>0.57478865248226951</v>
      </c>
      <c r="R121" s="8" t="str" cm="1">
        <f t="array" ref="R121">_xlfn.IFS(Q121&gt;40%,"Alta",Q121&gt;20%,"Média",Q121&lt;20%,"Baixa")</f>
        <v>Alta</v>
      </c>
    </row>
    <row r="122" spans="1:18" x14ac:dyDescent="0.25">
      <c r="A122" s="5">
        <v>848</v>
      </c>
      <c r="B122" s="6">
        <v>45773</v>
      </c>
      <c r="C122" s="8" t="s">
        <v>34</v>
      </c>
      <c r="D122" s="8" t="s">
        <v>42</v>
      </c>
      <c r="E122" s="8" t="s">
        <v>18</v>
      </c>
      <c r="F122" s="5">
        <v>1991</v>
      </c>
      <c r="G122" s="8" t="s">
        <v>36</v>
      </c>
      <c r="H122" s="8" t="s">
        <v>27</v>
      </c>
      <c r="I122" s="5">
        <v>17</v>
      </c>
      <c r="J122" s="10">
        <v>3308</v>
      </c>
      <c r="K122" s="10">
        <v>56236</v>
      </c>
      <c r="L122" s="10">
        <v>27419.759999999998</v>
      </c>
      <c r="M122" s="10">
        <v>28816.240000000002</v>
      </c>
      <c r="N122" s="8" t="s">
        <v>32</v>
      </c>
      <c r="O122" s="8" t="s">
        <v>39</v>
      </c>
      <c r="P122" s="8" t="s">
        <v>23</v>
      </c>
      <c r="Q122" s="3">
        <f t="shared" si="2"/>
        <v>0.51241624582118217</v>
      </c>
      <c r="R122" s="8" t="str" cm="1">
        <f t="array" ref="R122">_xlfn.IFS(Q122&gt;40%,"Alta",Q122&gt;20%,"Média",Q122&lt;20%,"Baixa")</f>
        <v>Alta</v>
      </c>
    </row>
    <row r="123" spans="1:18" x14ac:dyDescent="0.25">
      <c r="A123" s="5">
        <v>152</v>
      </c>
      <c r="B123" s="6">
        <v>45752</v>
      </c>
      <c r="C123" s="8" t="s">
        <v>47</v>
      </c>
      <c r="D123" s="8" t="s">
        <v>30</v>
      </c>
      <c r="E123" s="8" t="s">
        <v>37</v>
      </c>
      <c r="F123" s="5">
        <v>6633</v>
      </c>
      <c r="G123" s="8" t="s">
        <v>36</v>
      </c>
      <c r="H123" s="8" t="s">
        <v>27</v>
      </c>
      <c r="I123" s="5">
        <v>15</v>
      </c>
      <c r="J123" s="10">
        <v>3746</v>
      </c>
      <c r="K123" s="10">
        <v>56190</v>
      </c>
      <c r="L123" s="10">
        <v>42147.94</v>
      </c>
      <c r="M123" s="10">
        <v>14042.06</v>
      </c>
      <c r="N123" s="8" t="s">
        <v>32</v>
      </c>
      <c r="O123" s="8" t="s">
        <v>22</v>
      </c>
      <c r="P123" s="8" t="s">
        <v>44</v>
      </c>
      <c r="Q123" s="3">
        <f t="shared" si="2"/>
        <v>0.2499031856202171</v>
      </c>
      <c r="R123" s="8" t="str" cm="1">
        <f t="array" ref="R123">_xlfn.IFS(Q123&gt;40%,"Alta",Q123&gt;20%,"Média",Q123&lt;20%,"Baixa")</f>
        <v>Média</v>
      </c>
    </row>
    <row r="124" spans="1:18" x14ac:dyDescent="0.25">
      <c r="A124" s="5">
        <v>212</v>
      </c>
      <c r="B124" s="6">
        <v>45816</v>
      </c>
      <c r="C124" s="8" t="s">
        <v>16</v>
      </c>
      <c r="D124" s="8" t="s">
        <v>35</v>
      </c>
      <c r="E124" s="8" t="s">
        <v>18</v>
      </c>
      <c r="F124" s="5">
        <v>6345</v>
      </c>
      <c r="G124" s="8" t="s">
        <v>36</v>
      </c>
      <c r="H124" s="8" t="s">
        <v>43</v>
      </c>
      <c r="I124" s="5">
        <v>12</v>
      </c>
      <c r="J124" s="10">
        <v>4669</v>
      </c>
      <c r="K124" s="10">
        <v>56028</v>
      </c>
      <c r="L124" s="10">
        <v>37362.949999999997</v>
      </c>
      <c r="M124" s="10">
        <v>18665.05</v>
      </c>
      <c r="N124" s="8" t="s">
        <v>28</v>
      </c>
      <c r="O124" s="8" t="s">
        <v>39</v>
      </c>
      <c r="P124" s="8" t="s">
        <v>46</v>
      </c>
      <c r="Q124" s="3">
        <f t="shared" si="2"/>
        <v>0.33313789533804528</v>
      </c>
      <c r="R124" s="8" t="str" cm="1">
        <f t="array" ref="R124">_xlfn.IFS(Q124&gt;40%,"Alta",Q124&gt;20%,"Média",Q124&lt;20%,"Baixa")</f>
        <v>Média</v>
      </c>
    </row>
    <row r="125" spans="1:18" x14ac:dyDescent="0.25">
      <c r="A125" s="5">
        <v>550</v>
      </c>
      <c r="B125" s="6">
        <v>45722</v>
      </c>
      <c r="C125" s="8" t="s">
        <v>24</v>
      </c>
      <c r="D125" s="8" t="s">
        <v>45</v>
      </c>
      <c r="E125" s="8" t="s">
        <v>41</v>
      </c>
      <c r="F125" s="5">
        <v>1547</v>
      </c>
      <c r="G125" s="8" t="s">
        <v>19</v>
      </c>
      <c r="H125" s="8" t="s">
        <v>38</v>
      </c>
      <c r="I125" s="5">
        <v>12</v>
      </c>
      <c r="J125" s="10">
        <v>4667</v>
      </c>
      <c r="K125" s="10">
        <v>56004</v>
      </c>
      <c r="L125" s="10">
        <v>26199.38</v>
      </c>
      <c r="M125" s="10">
        <v>29804.62</v>
      </c>
      <c r="N125" s="8" t="s">
        <v>28</v>
      </c>
      <c r="O125" s="8" t="s">
        <v>39</v>
      </c>
      <c r="P125" s="8" t="s">
        <v>46</v>
      </c>
      <c r="Q125" s="3">
        <f t="shared" si="2"/>
        <v>0.53218734376115995</v>
      </c>
      <c r="R125" s="8" t="str" cm="1">
        <f t="array" ref="R125">_xlfn.IFS(Q125&gt;40%,"Alta",Q125&gt;20%,"Média",Q125&lt;20%,"Baixa")</f>
        <v>Alta</v>
      </c>
    </row>
    <row r="126" spans="1:18" x14ac:dyDescent="0.25">
      <c r="A126" s="5">
        <v>543</v>
      </c>
      <c r="B126" s="6">
        <v>45711</v>
      </c>
      <c r="C126" s="8" t="s">
        <v>16</v>
      </c>
      <c r="D126" s="8" t="s">
        <v>35</v>
      </c>
      <c r="E126" s="8" t="s">
        <v>18</v>
      </c>
      <c r="F126" s="5">
        <v>8712</v>
      </c>
      <c r="G126" s="8" t="s">
        <v>26</v>
      </c>
      <c r="H126" s="8" t="s">
        <v>20</v>
      </c>
      <c r="I126" s="5">
        <v>17</v>
      </c>
      <c r="J126" s="10">
        <v>3294</v>
      </c>
      <c r="K126" s="10">
        <v>55998</v>
      </c>
      <c r="L126" s="10">
        <v>27997.95</v>
      </c>
      <c r="M126" s="10">
        <v>28000.05</v>
      </c>
      <c r="N126" s="8" t="s">
        <v>21</v>
      </c>
      <c r="O126" s="8" t="s">
        <v>22</v>
      </c>
      <c r="P126" s="8" t="s">
        <v>29</v>
      </c>
      <c r="Q126" s="3">
        <f t="shared" si="2"/>
        <v>0.50001875066966672</v>
      </c>
      <c r="R126" s="8" t="str" cm="1">
        <f t="array" ref="R126">_xlfn.IFS(Q126&gt;40%,"Alta",Q126&gt;20%,"Média",Q126&lt;20%,"Baixa")</f>
        <v>Alta</v>
      </c>
    </row>
    <row r="127" spans="1:18" x14ac:dyDescent="0.25">
      <c r="A127" s="5">
        <v>17</v>
      </c>
      <c r="B127" s="6">
        <v>45777</v>
      </c>
      <c r="C127" s="8" t="s">
        <v>24</v>
      </c>
      <c r="D127" s="8" t="s">
        <v>45</v>
      </c>
      <c r="E127" s="8" t="s">
        <v>41</v>
      </c>
      <c r="F127" s="5">
        <v>6274</v>
      </c>
      <c r="G127" s="8" t="s">
        <v>19</v>
      </c>
      <c r="H127" s="8" t="s">
        <v>31</v>
      </c>
      <c r="I127" s="5">
        <v>14</v>
      </c>
      <c r="J127" s="10">
        <v>3985</v>
      </c>
      <c r="K127" s="10">
        <v>55790</v>
      </c>
      <c r="L127" s="10">
        <v>33209</v>
      </c>
      <c r="M127" s="10">
        <v>22581</v>
      </c>
      <c r="N127" s="8" t="s">
        <v>28</v>
      </c>
      <c r="O127" s="8" t="s">
        <v>22</v>
      </c>
      <c r="P127" s="8" t="s">
        <v>46</v>
      </c>
      <c r="Q127" s="3">
        <f t="shared" si="2"/>
        <v>0.40474995518910201</v>
      </c>
      <c r="R127" s="8" t="str" cm="1">
        <f t="array" ref="R127">_xlfn.IFS(Q127&gt;40%,"Alta",Q127&gt;20%,"Média",Q127&lt;20%,"Baixa")</f>
        <v>Alta</v>
      </c>
    </row>
    <row r="128" spans="1:18" x14ac:dyDescent="0.25">
      <c r="A128" s="5">
        <v>942</v>
      </c>
      <c r="B128" s="6">
        <v>45761</v>
      </c>
      <c r="C128" s="8" t="s">
        <v>34</v>
      </c>
      <c r="D128" s="8" t="s">
        <v>30</v>
      </c>
      <c r="E128" s="8" t="s">
        <v>41</v>
      </c>
      <c r="F128" s="5">
        <v>6410</v>
      </c>
      <c r="G128" s="8" t="s">
        <v>19</v>
      </c>
      <c r="H128" s="8" t="s">
        <v>20</v>
      </c>
      <c r="I128" s="5">
        <v>19</v>
      </c>
      <c r="J128" s="10">
        <v>2934</v>
      </c>
      <c r="K128" s="10">
        <v>55746</v>
      </c>
      <c r="L128" s="10">
        <v>41190.31</v>
      </c>
      <c r="M128" s="10">
        <v>14555.69</v>
      </c>
      <c r="N128" s="8" t="s">
        <v>32</v>
      </c>
      <c r="O128" s="8" t="s">
        <v>33</v>
      </c>
      <c r="P128" s="8" t="s">
        <v>40</v>
      </c>
      <c r="Q128" s="3">
        <f t="shared" si="2"/>
        <v>0.26110734402468339</v>
      </c>
      <c r="R128" s="8" t="str" cm="1">
        <f t="array" ref="R128">_xlfn.IFS(Q128&gt;40%,"Alta",Q128&gt;20%,"Média",Q128&lt;20%,"Baixa")</f>
        <v>Média</v>
      </c>
    </row>
    <row r="129" spans="1:18" x14ac:dyDescent="0.25">
      <c r="A129" s="5">
        <v>904</v>
      </c>
      <c r="B129" s="6">
        <v>45785</v>
      </c>
      <c r="C129" s="8" t="s">
        <v>16</v>
      </c>
      <c r="D129" s="8" t="s">
        <v>30</v>
      </c>
      <c r="E129" s="8" t="s">
        <v>37</v>
      </c>
      <c r="F129" s="5">
        <v>2049</v>
      </c>
      <c r="G129" s="8" t="s">
        <v>36</v>
      </c>
      <c r="H129" s="8" t="s">
        <v>43</v>
      </c>
      <c r="I129" s="5">
        <v>17</v>
      </c>
      <c r="J129" s="10">
        <v>3266</v>
      </c>
      <c r="K129" s="10">
        <v>55522</v>
      </c>
      <c r="L129" s="10">
        <v>29186.17</v>
      </c>
      <c r="M129" s="10">
        <v>26335.83</v>
      </c>
      <c r="N129" s="8" t="s">
        <v>28</v>
      </c>
      <c r="O129" s="8" t="s">
        <v>39</v>
      </c>
      <c r="P129" s="8" t="s">
        <v>40</v>
      </c>
      <c r="Q129" s="3">
        <f t="shared" si="2"/>
        <v>0.47433143618745727</v>
      </c>
      <c r="R129" s="8" t="str" cm="1">
        <f t="array" ref="R129">_xlfn.IFS(Q129&gt;40%,"Alta",Q129&gt;20%,"Média",Q129&lt;20%,"Baixa")</f>
        <v>Alta</v>
      </c>
    </row>
    <row r="130" spans="1:18" x14ac:dyDescent="0.25">
      <c r="A130" s="5">
        <v>765</v>
      </c>
      <c r="B130" s="6">
        <v>45717</v>
      </c>
      <c r="C130" s="8" t="s">
        <v>24</v>
      </c>
      <c r="D130" s="8" t="s">
        <v>35</v>
      </c>
      <c r="E130" s="8" t="s">
        <v>37</v>
      </c>
      <c r="F130" s="5">
        <v>2296</v>
      </c>
      <c r="G130" s="8" t="s">
        <v>26</v>
      </c>
      <c r="H130" s="8" t="s">
        <v>31</v>
      </c>
      <c r="I130" s="5">
        <v>16</v>
      </c>
      <c r="J130" s="10">
        <v>3465</v>
      </c>
      <c r="K130" s="10">
        <v>55440</v>
      </c>
      <c r="L130" s="10">
        <v>22901.86</v>
      </c>
      <c r="M130" s="10">
        <v>32538.14</v>
      </c>
      <c r="N130" s="8" t="s">
        <v>21</v>
      </c>
      <c r="O130" s="8" t="s">
        <v>39</v>
      </c>
      <c r="P130" s="8" t="s">
        <v>23</v>
      </c>
      <c r="Q130" s="3">
        <f t="shared" ref="Q130:Q193" si="3">M130/K130</f>
        <v>0.58690728715728713</v>
      </c>
      <c r="R130" s="8" t="str" cm="1">
        <f t="array" ref="R130">_xlfn.IFS(Q130&gt;40%,"Alta",Q130&gt;20%,"Média",Q130&lt;20%,"Baixa")</f>
        <v>Alta</v>
      </c>
    </row>
    <row r="131" spans="1:18" x14ac:dyDescent="0.25">
      <c r="A131" s="5">
        <v>229</v>
      </c>
      <c r="B131" s="6">
        <v>45790</v>
      </c>
      <c r="C131" s="8" t="s">
        <v>34</v>
      </c>
      <c r="D131" s="8" t="s">
        <v>30</v>
      </c>
      <c r="E131" s="8" t="s">
        <v>37</v>
      </c>
      <c r="F131" s="5">
        <v>5612</v>
      </c>
      <c r="G131" s="8" t="s">
        <v>19</v>
      </c>
      <c r="H131" s="8" t="s">
        <v>43</v>
      </c>
      <c r="I131" s="5">
        <v>14</v>
      </c>
      <c r="J131" s="10">
        <v>3953</v>
      </c>
      <c r="K131" s="10">
        <v>55342</v>
      </c>
      <c r="L131" s="10">
        <v>24957.22</v>
      </c>
      <c r="M131" s="10">
        <v>30384.78</v>
      </c>
      <c r="N131" s="8" t="s">
        <v>28</v>
      </c>
      <c r="O131" s="8" t="s">
        <v>33</v>
      </c>
      <c r="P131" s="8" t="s">
        <v>44</v>
      </c>
      <c r="Q131" s="3">
        <f t="shared" si="3"/>
        <v>0.54903653644609873</v>
      </c>
      <c r="R131" s="8" t="str" cm="1">
        <f t="array" ref="R131">_xlfn.IFS(Q131&gt;40%,"Alta",Q131&gt;20%,"Média",Q131&lt;20%,"Baixa")</f>
        <v>Alta</v>
      </c>
    </row>
    <row r="132" spans="1:18" x14ac:dyDescent="0.25">
      <c r="A132" s="5">
        <v>525</v>
      </c>
      <c r="B132" s="6">
        <v>45788</v>
      </c>
      <c r="C132" s="8" t="s">
        <v>34</v>
      </c>
      <c r="D132" s="8" t="s">
        <v>35</v>
      </c>
      <c r="E132" s="8" t="s">
        <v>37</v>
      </c>
      <c r="F132" s="5">
        <v>3322</v>
      </c>
      <c r="G132" s="8" t="s">
        <v>26</v>
      </c>
      <c r="H132" s="8" t="s">
        <v>27</v>
      </c>
      <c r="I132" s="5">
        <v>13</v>
      </c>
      <c r="J132" s="10">
        <v>4247</v>
      </c>
      <c r="K132" s="10">
        <v>55211</v>
      </c>
      <c r="L132" s="10">
        <v>40148.239999999998</v>
      </c>
      <c r="M132" s="10">
        <v>15062.76</v>
      </c>
      <c r="N132" s="8" t="s">
        <v>21</v>
      </c>
      <c r="O132" s="8" t="s">
        <v>33</v>
      </c>
      <c r="P132" s="8" t="s">
        <v>46</v>
      </c>
      <c r="Q132" s="3">
        <f t="shared" si="3"/>
        <v>0.27282172030935864</v>
      </c>
      <c r="R132" s="8" t="str" cm="1">
        <f t="array" ref="R132">_xlfn.IFS(Q132&gt;40%,"Alta",Q132&gt;20%,"Média",Q132&lt;20%,"Baixa")</f>
        <v>Média</v>
      </c>
    </row>
    <row r="133" spans="1:18" x14ac:dyDescent="0.25">
      <c r="A133" s="5">
        <v>552</v>
      </c>
      <c r="B133" s="6">
        <v>45704</v>
      </c>
      <c r="C133" s="8" t="s">
        <v>24</v>
      </c>
      <c r="D133" s="8" t="s">
        <v>45</v>
      </c>
      <c r="E133" s="8" t="s">
        <v>18</v>
      </c>
      <c r="F133" s="5">
        <v>3991</v>
      </c>
      <c r="G133" s="8" t="s">
        <v>19</v>
      </c>
      <c r="H133" s="8" t="s">
        <v>20</v>
      </c>
      <c r="I133" s="5">
        <v>13</v>
      </c>
      <c r="J133" s="10">
        <v>4234</v>
      </c>
      <c r="K133" s="10">
        <v>55042</v>
      </c>
      <c r="L133" s="10">
        <v>35635.97</v>
      </c>
      <c r="M133" s="10">
        <v>19406.03</v>
      </c>
      <c r="N133" s="8" t="s">
        <v>21</v>
      </c>
      <c r="O133" s="8" t="s">
        <v>22</v>
      </c>
      <c r="P133" s="8" t="s">
        <v>23</v>
      </c>
      <c r="Q133" s="3">
        <f t="shared" si="3"/>
        <v>0.35256767559318336</v>
      </c>
      <c r="R133" s="8" t="str" cm="1">
        <f t="array" ref="R133">_xlfn.IFS(Q133&gt;40%,"Alta",Q133&gt;20%,"Média",Q133&lt;20%,"Baixa")</f>
        <v>Média</v>
      </c>
    </row>
    <row r="134" spans="1:18" x14ac:dyDescent="0.25">
      <c r="A134" s="5">
        <v>735</v>
      </c>
      <c r="B134" s="6">
        <v>45692</v>
      </c>
      <c r="C134" s="8" t="s">
        <v>34</v>
      </c>
      <c r="D134" s="8" t="s">
        <v>17</v>
      </c>
      <c r="E134" s="8" t="s">
        <v>18</v>
      </c>
      <c r="F134" s="5">
        <v>8446</v>
      </c>
      <c r="G134" s="8" t="s">
        <v>36</v>
      </c>
      <c r="H134" s="8" t="s">
        <v>31</v>
      </c>
      <c r="I134" s="5">
        <v>14</v>
      </c>
      <c r="J134" s="10">
        <v>3931</v>
      </c>
      <c r="K134" s="10">
        <v>55034</v>
      </c>
      <c r="L134" s="10">
        <v>33280.04</v>
      </c>
      <c r="M134" s="10">
        <v>21753.96</v>
      </c>
      <c r="N134" s="8" t="s">
        <v>32</v>
      </c>
      <c r="O134" s="8" t="s">
        <v>22</v>
      </c>
      <c r="P134" s="8" t="s">
        <v>40</v>
      </c>
      <c r="Q134" s="3">
        <f t="shared" si="3"/>
        <v>0.39528218919213576</v>
      </c>
      <c r="R134" s="8" t="str" cm="1">
        <f t="array" ref="R134">_xlfn.IFS(Q134&gt;40%,"Alta",Q134&gt;20%,"Média",Q134&lt;20%,"Baixa")</f>
        <v>Média</v>
      </c>
    </row>
    <row r="135" spans="1:18" x14ac:dyDescent="0.25">
      <c r="A135" s="5">
        <v>586</v>
      </c>
      <c r="B135" s="6">
        <v>45684</v>
      </c>
      <c r="C135" s="8" t="s">
        <v>47</v>
      </c>
      <c r="D135" s="8" t="s">
        <v>42</v>
      </c>
      <c r="E135" s="8" t="s">
        <v>37</v>
      </c>
      <c r="F135" s="5">
        <v>6396</v>
      </c>
      <c r="G135" s="8" t="s">
        <v>26</v>
      </c>
      <c r="H135" s="8" t="s">
        <v>43</v>
      </c>
      <c r="I135" s="5">
        <v>11</v>
      </c>
      <c r="J135" s="10">
        <v>4976</v>
      </c>
      <c r="K135" s="10">
        <v>54736</v>
      </c>
      <c r="L135" s="10">
        <v>40208.35</v>
      </c>
      <c r="M135" s="10">
        <v>14527.65</v>
      </c>
      <c r="N135" s="8" t="s">
        <v>28</v>
      </c>
      <c r="O135" s="8" t="s">
        <v>39</v>
      </c>
      <c r="P135" s="8" t="s">
        <v>23</v>
      </c>
      <c r="Q135" s="3">
        <f t="shared" si="3"/>
        <v>0.26541307366267175</v>
      </c>
      <c r="R135" s="8" t="str" cm="1">
        <f t="array" ref="R135">_xlfn.IFS(Q135&gt;40%,"Alta",Q135&gt;20%,"Média",Q135&lt;20%,"Baixa")</f>
        <v>Média</v>
      </c>
    </row>
    <row r="136" spans="1:18" x14ac:dyDescent="0.25">
      <c r="A136" s="5">
        <v>952</v>
      </c>
      <c r="B136" s="6">
        <v>45782</v>
      </c>
      <c r="C136" s="8" t="s">
        <v>47</v>
      </c>
      <c r="D136" s="8" t="s">
        <v>17</v>
      </c>
      <c r="E136" s="8" t="s">
        <v>37</v>
      </c>
      <c r="F136" s="5">
        <v>9741</v>
      </c>
      <c r="G136" s="8" t="s">
        <v>26</v>
      </c>
      <c r="H136" s="8" t="s">
        <v>31</v>
      </c>
      <c r="I136" s="5">
        <v>17</v>
      </c>
      <c r="J136" s="10">
        <v>3205</v>
      </c>
      <c r="K136" s="10">
        <v>54485</v>
      </c>
      <c r="L136" s="10">
        <v>28273.15</v>
      </c>
      <c r="M136" s="10">
        <v>26211.85</v>
      </c>
      <c r="N136" s="8" t="s">
        <v>32</v>
      </c>
      <c r="O136" s="8" t="s">
        <v>39</v>
      </c>
      <c r="P136" s="8" t="s">
        <v>40</v>
      </c>
      <c r="Q136" s="3">
        <f t="shared" si="3"/>
        <v>0.48108378452785167</v>
      </c>
      <c r="R136" s="8" t="str" cm="1">
        <f t="array" ref="R136">_xlfn.IFS(Q136&gt;40%,"Alta",Q136&gt;20%,"Média",Q136&lt;20%,"Baixa")</f>
        <v>Alta</v>
      </c>
    </row>
    <row r="137" spans="1:18" x14ac:dyDescent="0.25">
      <c r="A137" s="5">
        <v>753</v>
      </c>
      <c r="B137" s="6">
        <v>45718</v>
      </c>
      <c r="C137" s="8" t="s">
        <v>34</v>
      </c>
      <c r="D137" s="8" t="s">
        <v>17</v>
      </c>
      <c r="E137" s="8" t="s">
        <v>25</v>
      </c>
      <c r="F137" s="5">
        <v>4520</v>
      </c>
      <c r="G137" s="8" t="s">
        <v>26</v>
      </c>
      <c r="H137" s="8" t="s">
        <v>27</v>
      </c>
      <c r="I137" s="5">
        <v>13</v>
      </c>
      <c r="J137" s="10">
        <v>4183</v>
      </c>
      <c r="K137" s="10">
        <v>54379</v>
      </c>
      <c r="L137" s="10">
        <v>37178.129999999997</v>
      </c>
      <c r="M137" s="10">
        <v>17200.87</v>
      </c>
      <c r="N137" s="8" t="s">
        <v>28</v>
      </c>
      <c r="O137" s="8" t="s">
        <v>33</v>
      </c>
      <c r="P137" s="8" t="s">
        <v>23</v>
      </c>
      <c r="Q137" s="3">
        <f t="shared" si="3"/>
        <v>0.31631456996266938</v>
      </c>
      <c r="R137" s="8" t="str" cm="1">
        <f t="array" ref="R137">_xlfn.IFS(Q137&gt;40%,"Alta",Q137&gt;20%,"Média",Q137&lt;20%,"Baixa")</f>
        <v>Média</v>
      </c>
    </row>
    <row r="138" spans="1:18" x14ac:dyDescent="0.25">
      <c r="A138" s="5">
        <v>218</v>
      </c>
      <c r="B138" s="6">
        <v>45810</v>
      </c>
      <c r="C138" s="8" t="s">
        <v>16</v>
      </c>
      <c r="D138" s="8" t="s">
        <v>35</v>
      </c>
      <c r="E138" s="8" t="s">
        <v>25</v>
      </c>
      <c r="F138" s="5">
        <v>8356</v>
      </c>
      <c r="G138" s="8" t="s">
        <v>26</v>
      </c>
      <c r="H138" s="8" t="s">
        <v>20</v>
      </c>
      <c r="I138" s="5">
        <v>20</v>
      </c>
      <c r="J138" s="10">
        <v>2704</v>
      </c>
      <c r="K138" s="10">
        <v>54080</v>
      </c>
      <c r="L138" s="10">
        <v>22282.44</v>
      </c>
      <c r="M138" s="10">
        <v>31797.56</v>
      </c>
      <c r="N138" s="8" t="s">
        <v>28</v>
      </c>
      <c r="O138" s="8" t="s">
        <v>39</v>
      </c>
      <c r="P138" s="8" t="s">
        <v>23</v>
      </c>
      <c r="Q138" s="3">
        <f t="shared" si="3"/>
        <v>0.58797263313609471</v>
      </c>
      <c r="R138" s="8" t="str" cm="1">
        <f t="array" ref="R138">_xlfn.IFS(Q138&gt;40%,"Alta",Q138&gt;20%,"Média",Q138&lt;20%,"Baixa")</f>
        <v>Alta</v>
      </c>
    </row>
    <row r="139" spans="1:18" x14ac:dyDescent="0.25">
      <c r="A139" s="5">
        <v>984</v>
      </c>
      <c r="B139" s="6">
        <v>45818</v>
      </c>
      <c r="C139" s="8" t="s">
        <v>24</v>
      </c>
      <c r="D139" s="8" t="s">
        <v>30</v>
      </c>
      <c r="E139" s="8" t="s">
        <v>18</v>
      </c>
      <c r="F139" s="5">
        <v>5277</v>
      </c>
      <c r="G139" s="8" t="s">
        <v>19</v>
      </c>
      <c r="H139" s="8" t="s">
        <v>27</v>
      </c>
      <c r="I139" s="5">
        <v>20</v>
      </c>
      <c r="J139" s="10">
        <v>2703</v>
      </c>
      <c r="K139" s="10">
        <v>54060</v>
      </c>
      <c r="L139" s="10">
        <v>28579.33</v>
      </c>
      <c r="M139" s="10">
        <v>25480.67</v>
      </c>
      <c r="N139" s="8" t="s">
        <v>28</v>
      </c>
      <c r="O139" s="8" t="s">
        <v>39</v>
      </c>
      <c r="P139" s="8" t="s">
        <v>23</v>
      </c>
      <c r="Q139" s="3">
        <f t="shared" si="3"/>
        <v>0.47134054753977062</v>
      </c>
      <c r="R139" s="8" t="str" cm="1">
        <f t="array" ref="R139">_xlfn.IFS(Q139&gt;40%,"Alta",Q139&gt;20%,"Média",Q139&lt;20%,"Baixa")</f>
        <v>Alta</v>
      </c>
    </row>
    <row r="140" spans="1:18" x14ac:dyDescent="0.25">
      <c r="A140" s="5">
        <v>204</v>
      </c>
      <c r="B140" s="6">
        <v>45722</v>
      </c>
      <c r="C140" s="8" t="s">
        <v>47</v>
      </c>
      <c r="D140" s="8" t="s">
        <v>45</v>
      </c>
      <c r="E140" s="8" t="s">
        <v>41</v>
      </c>
      <c r="F140" s="5">
        <v>3423</v>
      </c>
      <c r="G140" s="8" t="s">
        <v>19</v>
      </c>
      <c r="H140" s="8" t="s">
        <v>27</v>
      </c>
      <c r="I140" s="5">
        <v>12</v>
      </c>
      <c r="J140" s="10">
        <v>4482</v>
      </c>
      <c r="K140" s="10">
        <v>53784</v>
      </c>
      <c r="L140" s="10">
        <v>29134.09</v>
      </c>
      <c r="M140" s="10">
        <v>24649.91</v>
      </c>
      <c r="N140" s="8" t="s">
        <v>21</v>
      </c>
      <c r="O140" s="8" t="s">
        <v>22</v>
      </c>
      <c r="P140" s="8" t="s">
        <v>40</v>
      </c>
      <c r="Q140" s="3">
        <f t="shared" si="3"/>
        <v>0.4583130670831474</v>
      </c>
      <c r="R140" s="8" t="str" cm="1">
        <f t="array" ref="R140">_xlfn.IFS(Q140&gt;40%,"Alta",Q140&gt;20%,"Média",Q140&lt;20%,"Baixa")</f>
        <v>Alta</v>
      </c>
    </row>
    <row r="141" spans="1:18" x14ac:dyDescent="0.25">
      <c r="A141" s="5">
        <v>860</v>
      </c>
      <c r="B141" s="6">
        <v>45762</v>
      </c>
      <c r="C141" s="8" t="s">
        <v>16</v>
      </c>
      <c r="D141" s="8" t="s">
        <v>42</v>
      </c>
      <c r="E141" s="8" t="s">
        <v>25</v>
      </c>
      <c r="F141" s="5">
        <v>3162</v>
      </c>
      <c r="G141" s="8" t="s">
        <v>26</v>
      </c>
      <c r="H141" s="8" t="s">
        <v>43</v>
      </c>
      <c r="I141" s="5">
        <v>12</v>
      </c>
      <c r="J141" s="10">
        <v>4478</v>
      </c>
      <c r="K141" s="10">
        <v>53736</v>
      </c>
      <c r="L141" s="10">
        <v>26218.78</v>
      </c>
      <c r="M141" s="10">
        <v>27517.22</v>
      </c>
      <c r="N141" s="8" t="s">
        <v>21</v>
      </c>
      <c r="O141" s="8" t="s">
        <v>39</v>
      </c>
      <c r="P141" s="8" t="s">
        <v>29</v>
      </c>
      <c r="Q141" s="3">
        <f t="shared" si="3"/>
        <v>0.51208165847848741</v>
      </c>
      <c r="R141" s="8" t="str" cm="1">
        <f t="array" ref="R141">_xlfn.IFS(Q141&gt;40%,"Alta",Q141&gt;20%,"Média",Q141&lt;20%,"Baixa")</f>
        <v>Alta</v>
      </c>
    </row>
    <row r="142" spans="1:18" x14ac:dyDescent="0.25">
      <c r="A142" s="5">
        <v>721</v>
      </c>
      <c r="B142" s="6">
        <v>45733</v>
      </c>
      <c r="C142" s="8" t="s">
        <v>47</v>
      </c>
      <c r="D142" s="8" t="s">
        <v>42</v>
      </c>
      <c r="E142" s="8" t="s">
        <v>37</v>
      </c>
      <c r="F142" s="5">
        <v>6596</v>
      </c>
      <c r="G142" s="8" t="s">
        <v>36</v>
      </c>
      <c r="H142" s="8" t="s">
        <v>31</v>
      </c>
      <c r="I142" s="5">
        <v>14</v>
      </c>
      <c r="J142" s="10">
        <v>3838</v>
      </c>
      <c r="K142" s="10">
        <v>53732</v>
      </c>
      <c r="L142" s="10">
        <v>33015.040000000001</v>
      </c>
      <c r="M142" s="10">
        <v>20716.96</v>
      </c>
      <c r="N142" s="8" t="s">
        <v>21</v>
      </c>
      <c r="O142" s="8" t="s">
        <v>33</v>
      </c>
      <c r="P142" s="8" t="s">
        <v>23</v>
      </c>
      <c r="Q142" s="3">
        <f t="shared" si="3"/>
        <v>0.38556093203305292</v>
      </c>
      <c r="R142" s="8" t="str" cm="1">
        <f t="array" ref="R142">_xlfn.IFS(Q142&gt;40%,"Alta",Q142&gt;20%,"Média",Q142&lt;20%,"Baixa")</f>
        <v>Média</v>
      </c>
    </row>
    <row r="143" spans="1:18" x14ac:dyDescent="0.25">
      <c r="A143" s="5">
        <v>834</v>
      </c>
      <c r="B143" s="6">
        <v>45832</v>
      </c>
      <c r="C143" s="8" t="s">
        <v>24</v>
      </c>
      <c r="D143" s="8" t="s">
        <v>17</v>
      </c>
      <c r="E143" s="8" t="s">
        <v>37</v>
      </c>
      <c r="F143" s="5">
        <v>7023</v>
      </c>
      <c r="G143" s="8" t="s">
        <v>19</v>
      </c>
      <c r="H143" s="8" t="s">
        <v>31</v>
      </c>
      <c r="I143" s="5">
        <v>13</v>
      </c>
      <c r="J143" s="10">
        <v>4118</v>
      </c>
      <c r="K143" s="10">
        <v>53534</v>
      </c>
      <c r="L143" s="10">
        <v>38261.629999999997</v>
      </c>
      <c r="M143" s="10">
        <v>15272.37</v>
      </c>
      <c r="N143" s="8" t="s">
        <v>32</v>
      </c>
      <c r="O143" s="8" t="s">
        <v>39</v>
      </c>
      <c r="P143" s="8" t="s">
        <v>29</v>
      </c>
      <c r="Q143" s="3">
        <f t="shared" si="3"/>
        <v>0.28528355811260137</v>
      </c>
      <c r="R143" s="8" t="str" cm="1">
        <f t="array" ref="R143">_xlfn.IFS(Q143&gt;40%,"Alta",Q143&gt;20%,"Média",Q143&lt;20%,"Baixa")</f>
        <v>Média</v>
      </c>
    </row>
    <row r="144" spans="1:18" x14ac:dyDescent="0.25">
      <c r="A144" s="5">
        <v>798</v>
      </c>
      <c r="B144" s="6">
        <v>45758</v>
      </c>
      <c r="C144" s="8" t="s">
        <v>34</v>
      </c>
      <c r="D144" s="8" t="s">
        <v>30</v>
      </c>
      <c r="E144" s="8" t="s">
        <v>25</v>
      </c>
      <c r="F144" s="5">
        <v>1795</v>
      </c>
      <c r="G144" s="8" t="s">
        <v>26</v>
      </c>
      <c r="H144" s="8" t="s">
        <v>27</v>
      </c>
      <c r="I144" s="5">
        <v>15</v>
      </c>
      <c r="J144" s="10">
        <v>3563</v>
      </c>
      <c r="K144" s="10">
        <v>53445</v>
      </c>
      <c r="L144" s="10">
        <v>21719.200000000001</v>
      </c>
      <c r="M144" s="10">
        <v>31725.8</v>
      </c>
      <c r="N144" s="8" t="s">
        <v>32</v>
      </c>
      <c r="O144" s="8" t="s">
        <v>39</v>
      </c>
      <c r="P144" s="8" t="s">
        <v>46</v>
      </c>
      <c r="Q144" s="3">
        <f t="shared" si="3"/>
        <v>0.59361586677893163</v>
      </c>
      <c r="R144" s="8" t="str" cm="1">
        <f t="array" ref="R144">_xlfn.IFS(Q144&gt;40%,"Alta",Q144&gt;20%,"Média",Q144&lt;20%,"Baixa")</f>
        <v>Alta</v>
      </c>
    </row>
    <row r="145" spans="1:18" x14ac:dyDescent="0.25">
      <c r="A145" s="5">
        <v>281</v>
      </c>
      <c r="B145" s="6">
        <v>45807</v>
      </c>
      <c r="C145" s="8" t="s">
        <v>34</v>
      </c>
      <c r="D145" s="8" t="s">
        <v>45</v>
      </c>
      <c r="E145" s="8" t="s">
        <v>41</v>
      </c>
      <c r="F145" s="5">
        <v>2913</v>
      </c>
      <c r="G145" s="8" t="s">
        <v>26</v>
      </c>
      <c r="H145" s="8" t="s">
        <v>31</v>
      </c>
      <c r="I145" s="5">
        <v>17</v>
      </c>
      <c r="J145" s="10">
        <v>3133</v>
      </c>
      <c r="K145" s="10">
        <v>53261</v>
      </c>
      <c r="L145" s="10">
        <v>26435.99</v>
      </c>
      <c r="M145" s="10">
        <v>26825.01</v>
      </c>
      <c r="N145" s="8" t="s">
        <v>28</v>
      </c>
      <c r="O145" s="8" t="s">
        <v>39</v>
      </c>
      <c r="P145" s="8" t="s">
        <v>29</v>
      </c>
      <c r="Q145" s="3">
        <f t="shared" si="3"/>
        <v>0.5036520155460843</v>
      </c>
      <c r="R145" s="8" t="str" cm="1">
        <f t="array" ref="R145">_xlfn.IFS(Q145&gt;40%,"Alta",Q145&gt;20%,"Média",Q145&lt;20%,"Baixa")</f>
        <v>Alta</v>
      </c>
    </row>
    <row r="146" spans="1:18" x14ac:dyDescent="0.25">
      <c r="A146" s="5">
        <v>436</v>
      </c>
      <c r="B146" s="6">
        <v>45838</v>
      </c>
      <c r="C146" s="8" t="s">
        <v>16</v>
      </c>
      <c r="D146" s="8" t="s">
        <v>35</v>
      </c>
      <c r="E146" s="8" t="s">
        <v>37</v>
      </c>
      <c r="F146" s="5">
        <v>1910</v>
      </c>
      <c r="G146" s="8" t="s">
        <v>26</v>
      </c>
      <c r="H146" s="8" t="s">
        <v>20</v>
      </c>
      <c r="I146" s="5">
        <v>11</v>
      </c>
      <c r="J146" s="10">
        <v>4829</v>
      </c>
      <c r="K146" s="10">
        <v>53119</v>
      </c>
      <c r="L146" s="10">
        <v>26233.18</v>
      </c>
      <c r="M146" s="10">
        <v>26885.82</v>
      </c>
      <c r="N146" s="8" t="s">
        <v>32</v>
      </c>
      <c r="O146" s="8" t="s">
        <v>39</v>
      </c>
      <c r="P146" s="8" t="s">
        <v>44</v>
      </c>
      <c r="Q146" s="3">
        <f t="shared" si="3"/>
        <v>0.50614318793651991</v>
      </c>
      <c r="R146" s="8" t="str" cm="1">
        <f t="array" ref="R146">_xlfn.IFS(Q146&gt;40%,"Alta",Q146&gt;20%,"Média",Q146&lt;20%,"Baixa")</f>
        <v>Alta</v>
      </c>
    </row>
    <row r="147" spans="1:18" x14ac:dyDescent="0.25">
      <c r="A147" s="5">
        <v>847</v>
      </c>
      <c r="B147" s="6">
        <v>45703</v>
      </c>
      <c r="C147" s="8" t="s">
        <v>34</v>
      </c>
      <c r="D147" s="8" t="s">
        <v>42</v>
      </c>
      <c r="E147" s="8" t="s">
        <v>37</v>
      </c>
      <c r="F147" s="5">
        <v>3766</v>
      </c>
      <c r="G147" s="8" t="s">
        <v>26</v>
      </c>
      <c r="H147" s="8" t="s">
        <v>27</v>
      </c>
      <c r="I147" s="5">
        <v>17</v>
      </c>
      <c r="J147" s="10">
        <v>3124</v>
      </c>
      <c r="K147" s="10">
        <v>53108</v>
      </c>
      <c r="L147" s="10">
        <v>30202.44</v>
      </c>
      <c r="M147" s="10">
        <v>22905.56</v>
      </c>
      <c r="N147" s="8" t="s">
        <v>21</v>
      </c>
      <c r="O147" s="8" t="s">
        <v>33</v>
      </c>
      <c r="P147" s="8" t="s">
        <v>29</v>
      </c>
      <c r="Q147" s="3">
        <f t="shared" si="3"/>
        <v>0.43130149883256763</v>
      </c>
      <c r="R147" s="8" t="str" cm="1">
        <f t="array" ref="R147">_xlfn.IFS(Q147&gt;40%,"Alta",Q147&gt;20%,"Média",Q147&lt;20%,"Baixa")</f>
        <v>Alta</v>
      </c>
    </row>
    <row r="148" spans="1:18" x14ac:dyDescent="0.25">
      <c r="A148" s="5">
        <v>459</v>
      </c>
      <c r="B148" s="6">
        <v>45715</v>
      </c>
      <c r="C148" s="8" t="s">
        <v>47</v>
      </c>
      <c r="D148" s="8" t="s">
        <v>45</v>
      </c>
      <c r="E148" s="8" t="s">
        <v>18</v>
      </c>
      <c r="F148" s="5">
        <v>1405</v>
      </c>
      <c r="G148" s="8" t="s">
        <v>19</v>
      </c>
      <c r="H148" s="8" t="s">
        <v>43</v>
      </c>
      <c r="I148" s="5">
        <v>17</v>
      </c>
      <c r="J148" s="10">
        <v>3095</v>
      </c>
      <c r="K148" s="10">
        <v>52615</v>
      </c>
      <c r="L148" s="10">
        <v>37488.78</v>
      </c>
      <c r="M148" s="10">
        <v>15126.22</v>
      </c>
      <c r="N148" s="8" t="s">
        <v>21</v>
      </c>
      <c r="O148" s="8" t="s">
        <v>39</v>
      </c>
      <c r="P148" s="8" t="s">
        <v>46</v>
      </c>
      <c r="Q148" s="3">
        <f t="shared" si="3"/>
        <v>0.28748873895277011</v>
      </c>
      <c r="R148" s="8" t="str" cm="1">
        <f t="array" ref="R148">_xlfn.IFS(Q148&gt;40%,"Alta",Q148&gt;20%,"Média",Q148&lt;20%,"Baixa")</f>
        <v>Média</v>
      </c>
    </row>
    <row r="149" spans="1:18" x14ac:dyDescent="0.25">
      <c r="A149" s="5">
        <v>859</v>
      </c>
      <c r="B149" s="6">
        <v>45729</v>
      </c>
      <c r="C149" s="8" t="s">
        <v>24</v>
      </c>
      <c r="D149" s="8" t="s">
        <v>45</v>
      </c>
      <c r="E149" s="8" t="s">
        <v>18</v>
      </c>
      <c r="F149" s="5">
        <v>3833</v>
      </c>
      <c r="G149" s="8" t="s">
        <v>26</v>
      </c>
      <c r="H149" s="8" t="s">
        <v>20</v>
      </c>
      <c r="I149" s="5">
        <v>16</v>
      </c>
      <c r="J149" s="10">
        <v>3285</v>
      </c>
      <c r="K149" s="10">
        <v>52560</v>
      </c>
      <c r="L149" s="10">
        <v>31034.560000000001</v>
      </c>
      <c r="M149" s="10">
        <v>21525.439999999999</v>
      </c>
      <c r="N149" s="8" t="s">
        <v>21</v>
      </c>
      <c r="O149" s="8" t="s">
        <v>22</v>
      </c>
      <c r="P149" s="8" t="s">
        <v>40</v>
      </c>
      <c r="Q149" s="3">
        <f t="shared" si="3"/>
        <v>0.40954033485540331</v>
      </c>
      <c r="R149" s="8" t="str" cm="1">
        <f t="array" ref="R149">_xlfn.IFS(Q149&gt;40%,"Alta",Q149&gt;20%,"Média",Q149&lt;20%,"Baixa")</f>
        <v>Alta</v>
      </c>
    </row>
    <row r="150" spans="1:18" x14ac:dyDescent="0.25">
      <c r="A150" s="5">
        <v>113</v>
      </c>
      <c r="B150" s="6">
        <v>45724</v>
      </c>
      <c r="C150" s="8" t="s">
        <v>24</v>
      </c>
      <c r="D150" s="8" t="s">
        <v>42</v>
      </c>
      <c r="E150" s="8" t="s">
        <v>18</v>
      </c>
      <c r="F150" s="5">
        <v>9340</v>
      </c>
      <c r="G150" s="8" t="s">
        <v>26</v>
      </c>
      <c r="H150" s="8" t="s">
        <v>27</v>
      </c>
      <c r="I150" s="5">
        <v>16</v>
      </c>
      <c r="J150" s="10">
        <v>3279</v>
      </c>
      <c r="K150" s="10">
        <v>52464</v>
      </c>
      <c r="L150" s="10">
        <v>29017.919999999998</v>
      </c>
      <c r="M150" s="10">
        <v>23446.080000000002</v>
      </c>
      <c r="N150" s="8" t="s">
        <v>28</v>
      </c>
      <c r="O150" s="8" t="s">
        <v>22</v>
      </c>
      <c r="P150" s="8" t="s">
        <v>29</v>
      </c>
      <c r="Q150" s="3">
        <f t="shared" si="3"/>
        <v>0.44689844464775852</v>
      </c>
      <c r="R150" s="8" t="str" cm="1">
        <f t="array" ref="R150">_xlfn.IFS(Q150&gt;40%,"Alta",Q150&gt;20%,"Média",Q150&lt;20%,"Baixa")</f>
        <v>Alta</v>
      </c>
    </row>
    <row r="151" spans="1:18" x14ac:dyDescent="0.25">
      <c r="A151" s="5">
        <v>408</v>
      </c>
      <c r="B151" s="6">
        <v>45812</v>
      </c>
      <c r="C151" s="8" t="s">
        <v>47</v>
      </c>
      <c r="D151" s="8" t="s">
        <v>35</v>
      </c>
      <c r="E151" s="8" t="s">
        <v>25</v>
      </c>
      <c r="F151" s="5">
        <v>5493</v>
      </c>
      <c r="G151" s="8" t="s">
        <v>36</v>
      </c>
      <c r="H151" s="8" t="s">
        <v>38</v>
      </c>
      <c r="I151" s="5">
        <v>19</v>
      </c>
      <c r="J151" s="10">
        <v>2738</v>
      </c>
      <c r="K151" s="10">
        <v>52022</v>
      </c>
      <c r="L151" s="10">
        <v>22547.71</v>
      </c>
      <c r="M151" s="10">
        <v>29474.29</v>
      </c>
      <c r="N151" s="8" t="s">
        <v>21</v>
      </c>
      <c r="O151" s="8" t="s">
        <v>22</v>
      </c>
      <c r="P151" s="8" t="s">
        <v>44</v>
      </c>
      <c r="Q151" s="3">
        <f t="shared" si="3"/>
        <v>0.56657356503017953</v>
      </c>
      <c r="R151" s="8" t="str" cm="1">
        <f t="array" ref="R151">_xlfn.IFS(Q151&gt;40%,"Alta",Q151&gt;20%,"Média",Q151&lt;20%,"Baixa")</f>
        <v>Alta</v>
      </c>
    </row>
    <row r="152" spans="1:18" x14ac:dyDescent="0.25">
      <c r="A152" s="5">
        <v>623</v>
      </c>
      <c r="B152" s="6">
        <v>45732</v>
      </c>
      <c r="C152" s="8" t="s">
        <v>47</v>
      </c>
      <c r="D152" s="8" t="s">
        <v>30</v>
      </c>
      <c r="E152" s="8" t="s">
        <v>25</v>
      </c>
      <c r="F152" s="5">
        <v>7217</v>
      </c>
      <c r="G152" s="8" t="s">
        <v>26</v>
      </c>
      <c r="H152" s="8" t="s">
        <v>43</v>
      </c>
      <c r="I152" s="5">
        <v>17</v>
      </c>
      <c r="J152" s="10">
        <v>3056</v>
      </c>
      <c r="K152" s="10">
        <v>51952</v>
      </c>
      <c r="L152" s="10">
        <v>21388.67</v>
      </c>
      <c r="M152" s="10">
        <v>30563.33</v>
      </c>
      <c r="N152" s="8" t="s">
        <v>21</v>
      </c>
      <c r="O152" s="8" t="s">
        <v>22</v>
      </c>
      <c r="P152" s="8" t="s">
        <v>29</v>
      </c>
      <c r="Q152" s="3">
        <f t="shared" si="3"/>
        <v>0.58829939174622736</v>
      </c>
      <c r="R152" s="8" t="str" cm="1">
        <f t="array" ref="R152">_xlfn.IFS(Q152&gt;40%,"Alta",Q152&gt;20%,"Média",Q152&lt;20%,"Baixa")</f>
        <v>Alta</v>
      </c>
    </row>
    <row r="153" spans="1:18" x14ac:dyDescent="0.25">
      <c r="A153" s="5">
        <v>50</v>
      </c>
      <c r="B153" s="6">
        <v>45810</v>
      </c>
      <c r="C153" s="8" t="s">
        <v>34</v>
      </c>
      <c r="D153" s="8" t="s">
        <v>17</v>
      </c>
      <c r="E153" s="8" t="s">
        <v>37</v>
      </c>
      <c r="F153" s="5">
        <v>3068</v>
      </c>
      <c r="G153" s="8" t="s">
        <v>26</v>
      </c>
      <c r="H153" s="8" t="s">
        <v>27</v>
      </c>
      <c r="I153" s="5">
        <v>14</v>
      </c>
      <c r="J153" s="10">
        <v>3682</v>
      </c>
      <c r="K153" s="10">
        <v>51548</v>
      </c>
      <c r="L153" s="10">
        <v>29608.54</v>
      </c>
      <c r="M153" s="10">
        <v>21939.46</v>
      </c>
      <c r="N153" s="8" t="s">
        <v>21</v>
      </c>
      <c r="O153" s="8" t="s">
        <v>33</v>
      </c>
      <c r="P153" s="8" t="s">
        <v>23</v>
      </c>
      <c r="Q153" s="3">
        <f t="shared" si="3"/>
        <v>0.42561224489795918</v>
      </c>
      <c r="R153" s="8" t="str" cm="1">
        <f t="array" ref="R153">_xlfn.IFS(Q153&gt;40%,"Alta",Q153&gt;20%,"Média",Q153&lt;20%,"Baixa")</f>
        <v>Alta</v>
      </c>
    </row>
    <row r="154" spans="1:18" x14ac:dyDescent="0.25">
      <c r="A154" s="5">
        <v>88</v>
      </c>
      <c r="B154" s="6">
        <v>45719</v>
      </c>
      <c r="C154" s="8" t="s">
        <v>16</v>
      </c>
      <c r="D154" s="8" t="s">
        <v>42</v>
      </c>
      <c r="E154" s="8" t="s">
        <v>37</v>
      </c>
      <c r="F154" s="5">
        <v>7683</v>
      </c>
      <c r="G154" s="8" t="s">
        <v>36</v>
      </c>
      <c r="H154" s="8" t="s">
        <v>31</v>
      </c>
      <c r="I154" s="5">
        <v>14</v>
      </c>
      <c r="J154" s="10">
        <v>3681</v>
      </c>
      <c r="K154" s="10">
        <v>51534</v>
      </c>
      <c r="L154" s="10">
        <v>34627.42</v>
      </c>
      <c r="M154" s="10">
        <v>16906.580000000002</v>
      </c>
      <c r="N154" s="8" t="s">
        <v>28</v>
      </c>
      <c r="O154" s="8" t="s">
        <v>33</v>
      </c>
      <c r="P154" s="8" t="s">
        <v>29</v>
      </c>
      <c r="Q154" s="3">
        <f t="shared" si="3"/>
        <v>0.3280665191912136</v>
      </c>
      <c r="R154" s="8" t="str" cm="1">
        <f t="array" ref="R154">_xlfn.IFS(Q154&gt;40%,"Alta",Q154&gt;20%,"Média",Q154&lt;20%,"Baixa")</f>
        <v>Média</v>
      </c>
    </row>
    <row r="155" spans="1:18" x14ac:dyDescent="0.25">
      <c r="A155" s="5">
        <v>600</v>
      </c>
      <c r="B155" s="6">
        <v>45792</v>
      </c>
      <c r="C155" s="8" t="s">
        <v>34</v>
      </c>
      <c r="D155" s="8" t="s">
        <v>30</v>
      </c>
      <c r="E155" s="8" t="s">
        <v>25</v>
      </c>
      <c r="F155" s="5">
        <v>2768</v>
      </c>
      <c r="G155" s="8" t="s">
        <v>19</v>
      </c>
      <c r="H155" s="8" t="s">
        <v>38</v>
      </c>
      <c r="I155" s="5">
        <v>16</v>
      </c>
      <c r="J155" s="10">
        <v>3210</v>
      </c>
      <c r="K155" s="10">
        <v>51360</v>
      </c>
      <c r="L155" s="10">
        <v>24693.88</v>
      </c>
      <c r="M155" s="10">
        <v>26666.12</v>
      </c>
      <c r="N155" s="8" t="s">
        <v>32</v>
      </c>
      <c r="O155" s="8" t="s">
        <v>39</v>
      </c>
      <c r="P155" s="8" t="s">
        <v>29</v>
      </c>
      <c r="Q155" s="3">
        <f t="shared" si="3"/>
        <v>0.51920015576323986</v>
      </c>
      <c r="R155" s="8" t="str" cm="1">
        <f t="array" ref="R155">_xlfn.IFS(Q155&gt;40%,"Alta",Q155&gt;20%,"Média",Q155&lt;20%,"Baixa")</f>
        <v>Alta</v>
      </c>
    </row>
    <row r="156" spans="1:18" x14ac:dyDescent="0.25">
      <c r="A156" s="5">
        <v>2</v>
      </c>
      <c r="B156" s="6">
        <v>45686</v>
      </c>
      <c r="C156" s="8" t="s">
        <v>24</v>
      </c>
      <c r="D156" s="8" t="s">
        <v>17</v>
      </c>
      <c r="E156" s="8" t="s">
        <v>25</v>
      </c>
      <c r="F156" s="5">
        <v>8489</v>
      </c>
      <c r="G156" s="8" t="s">
        <v>26</v>
      </c>
      <c r="H156" s="8" t="s">
        <v>27</v>
      </c>
      <c r="I156" s="5">
        <v>19</v>
      </c>
      <c r="J156" s="10">
        <v>2688</v>
      </c>
      <c r="K156" s="10">
        <v>51072</v>
      </c>
      <c r="L156" s="10">
        <v>36405.99</v>
      </c>
      <c r="M156" s="10">
        <v>14666.01</v>
      </c>
      <c r="N156" s="8" t="s">
        <v>28</v>
      </c>
      <c r="O156" s="8" t="s">
        <v>22</v>
      </c>
      <c r="P156" s="8" t="s">
        <v>29</v>
      </c>
      <c r="Q156" s="3">
        <f t="shared" si="3"/>
        <v>0.28716341635338344</v>
      </c>
      <c r="R156" s="8" t="str" cm="1">
        <f t="array" ref="R156">_xlfn.IFS(Q156&gt;40%,"Alta",Q156&gt;20%,"Média",Q156&lt;20%,"Baixa")</f>
        <v>Média</v>
      </c>
    </row>
    <row r="157" spans="1:18" x14ac:dyDescent="0.25">
      <c r="A157" s="5">
        <v>931</v>
      </c>
      <c r="B157" s="6">
        <v>45801</v>
      </c>
      <c r="C157" s="8" t="s">
        <v>34</v>
      </c>
      <c r="D157" s="8" t="s">
        <v>42</v>
      </c>
      <c r="E157" s="8" t="s">
        <v>18</v>
      </c>
      <c r="F157" s="5">
        <v>9947</v>
      </c>
      <c r="G157" s="8" t="s">
        <v>36</v>
      </c>
      <c r="H157" s="8" t="s">
        <v>38</v>
      </c>
      <c r="I157" s="5">
        <v>13</v>
      </c>
      <c r="J157" s="10">
        <v>3925</v>
      </c>
      <c r="K157" s="10">
        <v>51025</v>
      </c>
      <c r="L157" s="10">
        <v>22596.62</v>
      </c>
      <c r="M157" s="10">
        <v>28428.38</v>
      </c>
      <c r="N157" s="8" t="s">
        <v>28</v>
      </c>
      <c r="O157" s="8" t="s">
        <v>22</v>
      </c>
      <c r="P157" s="8" t="s">
        <v>44</v>
      </c>
      <c r="Q157" s="3">
        <f t="shared" si="3"/>
        <v>0.55714610485056348</v>
      </c>
      <c r="R157" s="8" t="str" cm="1">
        <f t="array" ref="R157">_xlfn.IFS(Q157&gt;40%,"Alta",Q157&gt;20%,"Média",Q157&lt;20%,"Baixa")</f>
        <v>Alta</v>
      </c>
    </row>
    <row r="158" spans="1:18" x14ac:dyDescent="0.25">
      <c r="A158" s="5">
        <v>383</v>
      </c>
      <c r="B158" s="6">
        <v>45795</v>
      </c>
      <c r="C158" s="8" t="s">
        <v>16</v>
      </c>
      <c r="D158" s="8" t="s">
        <v>30</v>
      </c>
      <c r="E158" s="8" t="s">
        <v>37</v>
      </c>
      <c r="F158" s="5">
        <v>8034</v>
      </c>
      <c r="G158" s="8" t="s">
        <v>36</v>
      </c>
      <c r="H158" s="8" t="s">
        <v>31</v>
      </c>
      <c r="I158" s="5">
        <v>19</v>
      </c>
      <c r="J158" s="10">
        <v>2684</v>
      </c>
      <c r="K158" s="10">
        <v>50996</v>
      </c>
      <c r="L158" s="10">
        <v>25869.86</v>
      </c>
      <c r="M158" s="10">
        <v>25126.14</v>
      </c>
      <c r="N158" s="8" t="s">
        <v>28</v>
      </c>
      <c r="O158" s="8" t="s">
        <v>22</v>
      </c>
      <c r="P158" s="8" t="s">
        <v>23</v>
      </c>
      <c r="Q158" s="3">
        <f t="shared" si="3"/>
        <v>0.49270805553376734</v>
      </c>
      <c r="R158" s="8" t="str" cm="1">
        <f t="array" ref="R158">_xlfn.IFS(Q158&gt;40%,"Alta",Q158&gt;20%,"Média",Q158&lt;20%,"Baixa")</f>
        <v>Alta</v>
      </c>
    </row>
    <row r="159" spans="1:18" x14ac:dyDescent="0.25">
      <c r="A159" s="5">
        <v>832</v>
      </c>
      <c r="B159" s="6">
        <v>45690</v>
      </c>
      <c r="C159" s="8" t="s">
        <v>34</v>
      </c>
      <c r="D159" s="8" t="s">
        <v>45</v>
      </c>
      <c r="E159" s="8" t="s">
        <v>18</v>
      </c>
      <c r="F159" s="5">
        <v>7865</v>
      </c>
      <c r="G159" s="8" t="s">
        <v>36</v>
      </c>
      <c r="H159" s="8" t="s">
        <v>43</v>
      </c>
      <c r="I159" s="5">
        <v>20</v>
      </c>
      <c r="J159" s="10">
        <v>2548</v>
      </c>
      <c r="K159" s="10">
        <v>50960</v>
      </c>
      <c r="L159" s="10">
        <v>32136.63</v>
      </c>
      <c r="M159" s="10">
        <v>18823.37</v>
      </c>
      <c r="N159" s="8" t="s">
        <v>21</v>
      </c>
      <c r="O159" s="8" t="s">
        <v>39</v>
      </c>
      <c r="P159" s="8" t="s">
        <v>29</v>
      </c>
      <c r="Q159" s="3">
        <f t="shared" si="3"/>
        <v>0.36937539246467815</v>
      </c>
      <c r="R159" s="8" t="str" cm="1">
        <f t="array" ref="R159">_xlfn.IFS(Q159&gt;40%,"Alta",Q159&gt;20%,"Média",Q159&lt;20%,"Baixa")</f>
        <v>Média</v>
      </c>
    </row>
    <row r="160" spans="1:18" x14ac:dyDescent="0.25">
      <c r="A160" s="5">
        <v>883</v>
      </c>
      <c r="B160" s="6">
        <v>45778</v>
      </c>
      <c r="C160" s="8" t="s">
        <v>34</v>
      </c>
      <c r="D160" s="8" t="s">
        <v>45</v>
      </c>
      <c r="E160" s="8" t="s">
        <v>25</v>
      </c>
      <c r="F160" s="5">
        <v>5598</v>
      </c>
      <c r="G160" s="8" t="s">
        <v>26</v>
      </c>
      <c r="H160" s="8" t="s">
        <v>20</v>
      </c>
      <c r="I160" s="5">
        <v>17</v>
      </c>
      <c r="J160" s="10">
        <v>2996</v>
      </c>
      <c r="K160" s="10">
        <v>50932</v>
      </c>
      <c r="L160" s="10">
        <v>30368.26</v>
      </c>
      <c r="M160" s="10">
        <v>20563.740000000002</v>
      </c>
      <c r="N160" s="8" t="s">
        <v>28</v>
      </c>
      <c r="O160" s="8" t="s">
        <v>39</v>
      </c>
      <c r="P160" s="8" t="s">
        <v>44</v>
      </c>
      <c r="Q160" s="3">
        <f t="shared" si="3"/>
        <v>0.4037489201287992</v>
      </c>
      <c r="R160" s="8" t="str" cm="1">
        <f t="array" ref="R160">_xlfn.IFS(Q160&gt;40%,"Alta",Q160&gt;20%,"Média",Q160&lt;20%,"Baixa")</f>
        <v>Alta</v>
      </c>
    </row>
    <row r="161" spans="1:18" x14ac:dyDescent="0.25">
      <c r="A161" s="5">
        <v>825</v>
      </c>
      <c r="B161" s="6">
        <v>45705</v>
      </c>
      <c r="C161" s="8" t="s">
        <v>16</v>
      </c>
      <c r="D161" s="8" t="s">
        <v>30</v>
      </c>
      <c r="E161" s="8" t="s">
        <v>37</v>
      </c>
      <c r="F161" s="5">
        <v>2456</v>
      </c>
      <c r="G161" s="8" t="s">
        <v>26</v>
      </c>
      <c r="H161" s="8" t="s">
        <v>31</v>
      </c>
      <c r="I161" s="5">
        <v>14</v>
      </c>
      <c r="J161" s="10">
        <v>3637</v>
      </c>
      <c r="K161" s="10">
        <v>50918</v>
      </c>
      <c r="L161" s="10">
        <v>34551.949999999997</v>
      </c>
      <c r="M161" s="10">
        <v>16366.05</v>
      </c>
      <c r="N161" s="8" t="s">
        <v>28</v>
      </c>
      <c r="O161" s="8" t="s">
        <v>39</v>
      </c>
      <c r="P161" s="8" t="s">
        <v>29</v>
      </c>
      <c r="Q161" s="3">
        <f t="shared" si="3"/>
        <v>0.32141973368946147</v>
      </c>
      <c r="R161" s="8" t="str" cm="1">
        <f t="array" ref="R161">_xlfn.IFS(Q161&gt;40%,"Alta",Q161&gt;20%,"Média",Q161&lt;20%,"Baixa")</f>
        <v>Média</v>
      </c>
    </row>
    <row r="162" spans="1:18" x14ac:dyDescent="0.25">
      <c r="A162" s="5">
        <v>718</v>
      </c>
      <c r="B162" s="6">
        <v>45680</v>
      </c>
      <c r="C162" s="8" t="s">
        <v>24</v>
      </c>
      <c r="D162" s="8" t="s">
        <v>17</v>
      </c>
      <c r="E162" s="8" t="s">
        <v>25</v>
      </c>
      <c r="F162" s="5">
        <v>1316</v>
      </c>
      <c r="G162" s="8" t="s">
        <v>26</v>
      </c>
      <c r="H162" s="8" t="s">
        <v>31</v>
      </c>
      <c r="I162" s="5">
        <v>12</v>
      </c>
      <c r="J162" s="10">
        <v>4235</v>
      </c>
      <c r="K162" s="10">
        <v>50820</v>
      </c>
      <c r="L162" s="10">
        <v>21312.65</v>
      </c>
      <c r="M162" s="10">
        <v>29507.35</v>
      </c>
      <c r="N162" s="8" t="s">
        <v>32</v>
      </c>
      <c r="O162" s="8" t="s">
        <v>22</v>
      </c>
      <c r="P162" s="8" t="s">
        <v>46</v>
      </c>
      <c r="Q162" s="3">
        <f t="shared" si="3"/>
        <v>0.58062475403384495</v>
      </c>
      <c r="R162" s="8" t="str" cm="1">
        <f t="array" ref="R162">_xlfn.IFS(Q162&gt;40%,"Alta",Q162&gt;20%,"Média",Q162&lt;20%,"Baixa")</f>
        <v>Alta</v>
      </c>
    </row>
    <row r="163" spans="1:18" x14ac:dyDescent="0.25">
      <c r="A163" s="5">
        <v>657</v>
      </c>
      <c r="B163" s="6">
        <v>45714</v>
      </c>
      <c r="C163" s="8" t="s">
        <v>24</v>
      </c>
      <c r="D163" s="8" t="s">
        <v>30</v>
      </c>
      <c r="E163" s="8" t="s">
        <v>41</v>
      </c>
      <c r="F163" s="5">
        <v>9109</v>
      </c>
      <c r="G163" s="8" t="s">
        <v>19</v>
      </c>
      <c r="H163" s="8" t="s">
        <v>31</v>
      </c>
      <c r="I163" s="5">
        <v>13</v>
      </c>
      <c r="J163" s="10">
        <v>3892</v>
      </c>
      <c r="K163" s="10">
        <v>50596</v>
      </c>
      <c r="L163" s="10">
        <v>23990.34</v>
      </c>
      <c r="M163" s="10">
        <v>26605.66</v>
      </c>
      <c r="N163" s="8" t="s">
        <v>28</v>
      </c>
      <c r="O163" s="8" t="s">
        <v>22</v>
      </c>
      <c r="P163" s="8" t="s">
        <v>23</v>
      </c>
      <c r="Q163" s="3">
        <f t="shared" si="3"/>
        <v>0.52584512609692469</v>
      </c>
      <c r="R163" s="8" t="str" cm="1">
        <f t="array" ref="R163">_xlfn.IFS(Q163&gt;40%,"Alta",Q163&gt;20%,"Média",Q163&lt;20%,"Baixa")</f>
        <v>Alta</v>
      </c>
    </row>
    <row r="164" spans="1:18" x14ac:dyDescent="0.25">
      <c r="A164" s="5">
        <v>776</v>
      </c>
      <c r="B164" s="6">
        <v>45829</v>
      </c>
      <c r="C164" s="8" t="s">
        <v>16</v>
      </c>
      <c r="D164" s="8" t="s">
        <v>45</v>
      </c>
      <c r="E164" s="8" t="s">
        <v>25</v>
      </c>
      <c r="F164" s="5">
        <v>5099</v>
      </c>
      <c r="G164" s="8" t="s">
        <v>36</v>
      </c>
      <c r="H164" s="8" t="s">
        <v>43</v>
      </c>
      <c r="I164" s="5">
        <v>13</v>
      </c>
      <c r="J164" s="10">
        <v>3872</v>
      </c>
      <c r="K164" s="10">
        <v>50336</v>
      </c>
      <c r="L164" s="10">
        <v>22111.439999999999</v>
      </c>
      <c r="M164" s="10">
        <v>28224.560000000001</v>
      </c>
      <c r="N164" s="8" t="s">
        <v>21</v>
      </c>
      <c r="O164" s="8" t="s">
        <v>22</v>
      </c>
      <c r="P164" s="8" t="s">
        <v>46</v>
      </c>
      <c r="Q164" s="3">
        <f t="shared" si="3"/>
        <v>0.5607231404958678</v>
      </c>
      <c r="R164" s="8" t="str" cm="1">
        <f t="array" ref="R164">_xlfn.IFS(Q164&gt;40%,"Alta",Q164&gt;20%,"Média",Q164&lt;20%,"Baixa")</f>
        <v>Alta</v>
      </c>
    </row>
    <row r="165" spans="1:18" x14ac:dyDescent="0.25">
      <c r="A165" s="5">
        <v>524</v>
      </c>
      <c r="B165" s="6">
        <v>45682</v>
      </c>
      <c r="C165" s="8" t="s">
        <v>24</v>
      </c>
      <c r="D165" s="8" t="s">
        <v>30</v>
      </c>
      <c r="E165" s="8" t="s">
        <v>37</v>
      </c>
      <c r="F165" s="5">
        <v>9458</v>
      </c>
      <c r="G165" s="8" t="s">
        <v>26</v>
      </c>
      <c r="H165" s="8" t="s">
        <v>27</v>
      </c>
      <c r="I165" s="5">
        <v>19</v>
      </c>
      <c r="J165" s="10">
        <v>2647</v>
      </c>
      <c r="K165" s="10">
        <v>50293</v>
      </c>
      <c r="L165" s="10">
        <v>32543.54</v>
      </c>
      <c r="M165" s="10">
        <v>17749.46</v>
      </c>
      <c r="N165" s="8" t="s">
        <v>21</v>
      </c>
      <c r="O165" s="8" t="s">
        <v>33</v>
      </c>
      <c r="P165" s="8" t="s">
        <v>46</v>
      </c>
      <c r="Q165" s="3">
        <f t="shared" si="3"/>
        <v>0.35292108245680309</v>
      </c>
      <c r="R165" s="8" t="str" cm="1">
        <f t="array" ref="R165">_xlfn.IFS(Q165&gt;40%,"Alta",Q165&gt;20%,"Média",Q165&lt;20%,"Baixa")</f>
        <v>Média</v>
      </c>
    </row>
    <row r="166" spans="1:18" x14ac:dyDescent="0.25">
      <c r="A166" s="5">
        <v>299</v>
      </c>
      <c r="B166" s="6">
        <v>45717</v>
      </c>
      <c r="C166" s="8" t="s">
        <v>16</v>
      </c>
      <c r="D166" s="8" t="s">
        <v>35</v>
      </c>
      <c r="E166" s="8" t="s">
        <v>41</v>
      </c>
      <c r="F166" s="5">
        <v>7037</v>
      </c>
      <c r="G166" s="8" t="s">
        <v>36</v>
      </c>
      <c r="H166" s="8" t="s">
        <v>20</v>
      </c>
      <c r="I166" s="5">
        <v>15</v>
      </c>
      <c r="J166" s="10">
        <v>3351</v>
      </c>
      <c r="K166" s="10">
        <v>50265</v>
      </c>
      <c r="L166" s="10">
        <v>40059.67</v>
      </c>
      <c r="M166" s="10">
        <v>10205.33</v>
      </c>
      <c r="N166" s="8" t="s">
        <v>21</v>
      </c>
      <c r="O166" s="8" t="s">
        <v>39</v>
      </c>
      <c r="P166" s="8" t="s">
        <v>44</v>
      </c>
      <c r="Q166" s="3">
        <f t="shared" si="3"/>
        <v>0.20303053814781657</v>
      </c>
      <c r="R166" s="8" t="str" cm="1">
        <f t="array" ref="R166">_xlfn.IFS(Q166&gt;40%,"Alta",Q166&gt;20%,"Média",Q166&lt;20%,"Baixa")</f>
        <v>Média</v>
      </c>
    </row>
    <row r="167" spans="1:18" x14ac:dyDescent="0.25">
      <c r="A167" s="5">
        <v>812</v>
      </c>
      <c r="B167" s="6">
        <v>45753</v>
      </c>
      <c r="C167" s="8" t="s">
        <v>47</v>
      </c>
      <c r="D167" s="8" t="s">
        <v>30</v>
      </c>
      <c r="E167" s="8" t="s">
        <v>18</v>
      </c>
      <c r="F167" s="5">
        <v>9770</v>
      </c>
      <c r="G167" s="8" t="s">
        <v>19</v>
      </c>
      <c r="H167" s="8" t="s">
        <v>38</v>
      </c>
      <c r="I167" s="5">
        <v>19</v>
      </c>
      <c r="J167" s="10">
        <v>2645</v>
      </c>
      <c r="K167" s="10">
        <v>50255</v>
      </c>
      <c r="L167" s="10">
        <v>22519.02</v>
      </c>
      <c r="M167" s="10">
        <v>27735.98</v>
      </c>
      <c r="N167" s="8" t="s">
        <v>21</v>
      </c>
      <c r="O167" s="8" t="s">
        <v>39</v>
      </c>
      <c r="P167" s="8" t="s">
        <v>46</v>
      </c>
      <c r="Q167" s="3">
        <f t="shared" si="3"/>
        <v>0.55190488508606106</v>
      </c>
      <c r="R167" s="8" t="str" cm="1">
        <f t="array" ref="R167">_xlfn.IFS(Q167&gt;40%,"Alta",Q167&gt;20%,"Média",Q167&lt;20%,"Baixa")</f>
        <v>Alta</v>
      </c>
    </row>
    <row r="168" spans="1:18" x14ac:dyDescent="0.25">
      <c r="A168" s="5">
        <v>562</v>
      </c>
      <c r="B168" s="6">
        <v>45677</v>
      </c>
      <c r="C168" s="8" t="s">
        <v>47</v>
      </c>
      <c r="D168" s="8" t="s">
        <v>42</v>
      </c>
      <c r="E168" s="8" t="s">
        <v>18</v>
      </c>
      <c r="F168" s="5">
        <v>5570</v>
      </c>
      <c r="G168" s="8" t="s">
        <v>26</v>
      </c>
      <c r="H168" s="8" t="s">
        <v>31</v>
      </c>
      <c r="I168" s="5">
        <v>20</v>
      </c>
      <c r="J168" s="10">
        <v>2502</v>
      </c>
      <c r="K168" s="10">
        <v>50040</v>
      </c>
      <c r="L168" s="10">
        <v>31339.89</v>
      </c>
      <c r="M168" s="10">
        <v>18700.11</v>
      </c>
      <c r="N168" s="8" t="s">
        <v>21</v>
      </c>
      <c r="O168" s="8" t="s">
        <v>33</v>
      </c>
      <c r="P168" s="8" t="s">
        <v>44</v>
      </c>
      <c r="Q168" s="3">
        <f t="shared" si="3"/>
        <v>0.37370323741007194</v>
      </c>
      <c r="R168" s="8" t="str" cm="1">
        <f t="array" ref="R168">_xlfn.IFS(Q168&gt;40%,"Alta",Q168&gt;20%,"Média",Q168&lt;20%,"Baixa")</f>
        <v>Média</v>
      </c>
    </row>
    <row r="169" spans="1:18" x14ac:dyDescent="0.25">
      <c r="A169" s="5">
        <v>67</v>
      </c>
      <c r="B169" s="6">
        <v>45686</v>
      </c>
      <c r="C169" s="8" t="s">
        <v>47</v>
      </c>
      <c r="D169" s="8" t="s">
        <v>35</v>
      </c>
      <c r="E169" s="8" t="s">
        <v>37</v>
      </c>
      <c r="F169" s="5">
        <v>7173</v>
      </c>
      <c r="G169" s="8" t="s">
        <v>36</v>
      </c>
      <c r="H169" s="8" t="s">
        <v>20</v>
      </c>
      <c r="I169" s="5">
        <v>15</v>
      </c>
      <c r="J169" s="10">
        <v>3335</v>
      </c>
      <c r="K169" s="10">
        <v>50025</v>
      </c>
      <c r="L169" s="10">
        <v>37538.49</v>
      </c>
      <c r="M169" s="10">
        <v>12486.51</v>
      </c>
      <c r="N169" s="8" t="s">
        <v>28</v>
      </c>
      <c r="O169" s="8" t="s">
        <v>39</v>
      </c>
      <c r="P169" s="8" t="s">
        <v>40</v>
      </c>
      <c r="Q169" s="3">
        <f t="shared" si="3"/>
        <v>0.24960539730134934</v>
      </c>
      <c r="R169" s="8" t="str" cm="1">
        <f t="array" ref="R169">_xlfn.IFS(Q169&gt;40%,"Alta",Q169&gt;20%,"Média",Q169&lt;20%,"Baixa")</f>
        <v>Média</v>
      </c>
    </row>
    <row r="170" spans="1:18" x14ac:dyDescent="0.25">
      <c r="A170" s="5">
        <v>510</v>
      </c>
      <c r="B170" s="6">
        <v>45675</v>
      </c>
      <c r="C170" s="8" t="s">
        <v>16</v>
      </c>
      <c r="D170" s="8" t="s">
        <v>45</v>
      </c>
      <c r="E170" s="8" t="s">
        <v>18</v>
      </c>
      <c r="F170" s="5">
        <v>4886</v>
      </c>
      <c r="G170" s="8" t="s">
        <v>19</v>
      </c>
      <c r="H170" s="8" t="s">
        <v>27</v>
      </c>
      <c r="I170" s="5">
        <v>11</v>
      </c>
      <c r="J170" s="10">
        <v>4514</v>
      </c>
      <c r="K170" s="10">
        <v>49654</v>
      </c>
      <c r="L170" s="10">
        <v>32528.28</v>
      </c>
      <c r="M170" s="10">
        <v>17125.72</v>
      </c>
      <c r="N170" s="8" t="s">
        <v>28</v>
      </c>
      <c r="O170" s="8" t="s">
        <v>33</v>
      </c>
      <c r="P170" s="8" t="s">
        <v>44</v>
      </c>
      <c r="Q170" s="3">
        <f t="shared" si="3"/>
        <v>0.34490111572078785</v>
      </c>
      <c r="R170" s="8" t="str" cm="1">
        <f t="array" ref="R170">_xlfn.IFS(Q170&gt;40%,"Alta",Q170&gt;20%,"Média",Q170&lt;20%,"Baixa")</f>
        <v>Média</v>
      </c>
    </row>
    <row r="171" spans="1:18" x14ac:dyDescent="0.25">
      <c r="A171" s="5">
        <v>420</v>
      </c>
      <c r="B171" s="6">
        <v>45829</v>
      </c>
      <c r="C171" s="8" t="s">
        <v>16</v>
      </c>
      <c r="D171" s="8" t="s">
        <v>17</v>
      </c>
      <c r="E171" s="8" t="s">
        <v>37</v>
      </c>
      <c r="F171" s="5">
        <v>9173</v>
      </c>
      <c r="G171" s="8" t="s">
        <v>36</v>
      </c>
      <c r="H171" s="8" t="s">
        <v>38</v>
      </c>
      <c r="I171" s="5">
        <v>10</v>
      </c>
      <c r="J171" s="10">
        <v>4964</v>
      </c>
      <c r="K171" s="10">
        <v>49640</v>
      </c>
      <c r="L171" s="10">
        <v>36761.120000000003</v>
      </c>
      <c r="M171" s="10">
        <v>12878.88</v>
      </c>
      <c r="N171" s="8" t="s">
        <v>21</v>
      </c>
      <c r="O171" s="8" t="s">
        <v>22</v>
      </c>
      <c r="P171" s="8" t="s">
        <v>29</v>
      </c>
      <c r="Q171" s="3">
        <f t="shared" si="3"/>
        <v>0.25944560838033842</v>
      </c>
      <c r="R171" s="8" t="str" cm="1">
        <f t="array" ref="R171">_xlfn.IFS(Q171&gt;40%,"Alta",Q171&gt;20%,"Média",Q171&lt;20%,"Baixa")</f>
        <v>Média</v>
      </c>
    </row>
    <row r="172" spans="1:18" x14ac:dyDescent="0.25">
      <c r="A172" s="5">
        <v>612</v>
      </c>
      <c r="B172" s="6">
        <v>45691</v>
      </c>
      <c r="C172" s="8" t="s">
        <v>16</v>
      </c>
      <c r="D172" s="8" t="s">
        <v>30</v>
      </c>
      <c r="E172" s="8" t="s">
        <v>25</v>
      </c>
      <c r="F172" s="5">
        <v>7661</v>
      </c>
      <c r="G172" s="8" t="s">
        <v>19</v>
      </c>
      <c r="H172" s="8" t="s">
        <v>27</v>
      </c>
      <c r="I172" s="5">
        <v>10</v>
      </c>
      <c r="J172" s="10">
        <v>4959</v>
      </c>
      <c r="K172" s="10">
        <v>49590</v>
      </c>
      <c r="L172" s="10">
        <v>25087.07</v>
      </c>
      <c r="M172" s="10">
        <v>24502.93</v>
      </c>
      <c r="N172" s="8" t="s">
        <v>32</v>
      </c>
      <c r="O172" s="8" t="s">
        <v>33</v>
      </c>
      <c r="P172" s="8" t="s">
        <v>46</v>
      </c>
      <c r="Q172" s="3">
        <f t="shared" si="3"/>
        <v>0.49411030449687438</v>
      </c>
      <c r="R172" s="8" t="str" cm="1">
        <f t="array" ref="R172">_xlfn.IFS(Q172&gt;40%,"Alta",Q172&gt;20%,"Média",Q172&lt;20%,"Baixa")</f>
        <v>Alta</v>
      </c>
    </row>
    <row r="173" spans="1:18" x14ac:dyDescent="0.25">
      <c r="A173" s="5">
        <v>509</v>
      </c>
      <c r="B173" s="6">
        <v>45695</v>
      </c>
      <c r="C173" s="8" t="s">
        <v>34</v>
      </c>
      <c r="D173" s="8" t="s">
        <v>30</v>
      </c>
      <c r="E173" s="8" t="s">
        <v>37</v>
      </c>
      <c r="F173" s="5">
        <v>3458</v>
      </c>
      <c r="G173" s="8" t="s">
        <v>26</v>
      </c>
      <c r="H173" s="8" t="s">
        <v>31</v>
      </c>
      <c r="I173" s="5">
        <v>13</v>
      </c>
      <c r="J173" s="10">
        <v>3812</v>
      </c>
      <c r="K173" s="10">
        <v>49556</v>
      </c>
      <c r="L173" s="10">
        <v>39516.33</v>
      </c>
      <c r="M173" s="10">
        <v>10039.67</v>
      </c>
      <c r="N173" s="8" t="s">
        <v>28</v>
      </c>
      <c r="O173" s="8" t="s">
        <v>22</v>
      </c>
      <c r="P173" s="8" t="s">
        <v>46</v>
      </c>
      <c r="Q173" s="3">
        <f t="shared" si="3"/>
        <v>0.20259242069577851</v>
      </c>
      <c r="R173" s="8" t="str" cm="1">
        <f t="array" ref="R173">_xlfn.IFS(Q173&gt;40%,"Alta",Q173&gt;20%,"Média",Q173&lt;20%,"Baixa")</f>
        <v>Média</v>
      </c>
    </row>
    <row r="174" spans="1:18" x14ac:dyDescent="0.25">
      <c r="A174" s="5">
        <v>139</v>
      </c>
      <c r="B174" s="6">
        <v>45807</v>
      </c>
      <c r="C174" s="8" t="s">
        <v>47</v>
      </c>
      <c r="D174" s="8" t="s">
        <v>17</v>
      </c>
      <c r="E174" s="8" t="s">
        <v>41</v>
      </c>
      <c r="F174" s="5">
        <v>6643</v>
      </c>
      <c r="G174" s="8" t="s">
        <v>26</v>
      </c>
      <c r="H174" s="8" t="s">
        <v>20</v>
      </c>
      <c r="I174" s="5">
        <v>11</v>
      </c>
      <c r="J174" s="10">
        <v>4486</v>
      </c>
      <c r="K174" s="10">
        <v>49346</v>
      </c>
      <c r="L174" s="10">
        <v>26411.93</v>
      </c>
      <c r="M174" s="10">
        <v>22934.07</v>
      </c>
      <c r="N174" s="8" t="s">
        <v>21</v>
      </c>
      <c r="O174" s="8" t="s">
        <v>39</v>
      </c>
      <c r="P174" s="8" t="s">
        <v>29</v>
      </c>
      <c r="Q174" s="3">
        <f t="shared" si="3"/>
        <v>0.46476046690714545</v>
      </c>
      <c r="R174" s="8" t="str" cm="1">
        <f t="array" ref="R174">_xlfn.IFS(Q174&gt;40%,"Alta",Q174&gt;20%,"Média",Q174&lt;20%,"Baixa")</f>
        <v>Alta</v>
      </c>
    </row>
    <row r="175" spans="1:18" x14ac:dyDescent="0.25">
      <c r="A175" s="5">
        <v>949</v>
      </c>
      <c r="B175" s="6">
        <v>45765</v>
      </c>
      <c r="C175" s="8" t="s">
        <v>47</v>
      </c>
      <c r="D175" s="8" t="s">
        <v>17</v>
      </c>
      <c r="E175" s="8" t="s">
        <v>41</v>
      </c>
      <c r="F175" s="5">
        <v>7829</v>
      </c>
      <c r="G175" s="8" t="s">
        <v>36</v>
      </c>
      <c r="H175" s="8" t="s">
        <v>31</v>
      </c>
      <c r="I175" s="5">
        <v>17</v>
      </c>
      <c r="J175" s="10">
        <v>2899</v>
      </c>
      <c r="K175" s="10">
        <v>49283</v>
      </c>
      <c r="L175" s="10">
        <v>38174.46</v>
      </c>
      <c r="M175" s="10">
        <v>11108.54</v>
      </c>
      <c r="N175" s="8" t="s">
        <v>21</v>
      </c>
      <c r="O175" s="8" t="s">
        <v>22</v>
      </c>
      <c r="P175" s="8" t="s">
        <v>44</v>
      </c>
      <c r="Q175" s="3">
        <f t="shared" si="3"/>
        <v>0.22540308016963254</v>
      </c>
      <c r="R175" s="8" t="str" cm="1">
        <f t="array" ref="R175">_xlfn.IFS(Q175&gt;40%,"Alta",Q175&gt;20%,"Média",Q175&lt;20%,"Baixa")</f>
        <v>Média</v>
      </c>
    </row>
    <row r="176" spans="1:18" x14ac:dyDescent="0.25">
      <c r="A176" s="5">
        <v>317</v>
      </c>
      <c r="B176" s="6">
        <v>45820</v>
      </c>
      <c r="C176" s="8" t="s">
        <v>24</v>
      </c>
      <c r="D176" s="8" t="s">
        <v>30</v>
      </c>
      <c r="E176" s="8" t="s">
        <v>37</v>
      </c>
      <c r="F176" s="5">
        <v>2826</v>
      </c>
      <c r="G176" s="8" t="s">
        <v>36</v>
      </c>
      <c r="H176" s="8" t="s">
        <v>43</v>
      </c>
      <c r="I176" s="5">
        <v>18</v>
      </c>
      <c r="J176" s="10">
        <v>2703</v>
      </c>
      <c r="K176" s="10">
        <v>48654</v>
      </c>
      <c r="L176" s="10">
        <v>20639.77</v>
      </c>
      <c r="M176" s="10">
        <v>28014.23</v>
      </c>
      <c r="N176" s="8" t="s">
        <v>21</v>
      </c>
      <c r="O176" s="8" t="s">
        <v>39</v>
      </c>
      <c r="P176" s="8" t="s">
        <v>46</v>
      </c>
      <c r="Q176" s="3">
        <f t="shared" si="3"/>
        <v>0.57578472479138409</v>
      </c>
      <c r="R176" s="8" t="str" cm="1">
        <f t="array" ref="R176">_xlfn.IFS(Q176&gt;40%,"Alta",Q176&gt;20%,"Média",Q176&lt;20%,"Baixa")</f>
        <v>Alta</v>
      </c>
    </row>
    <row r="177" spans="1:18" x14ac:dyDescent="0.25">
      <c r="A177" s="5">
        <v>385</v>
      </c>
      <c r="B177" s="6">
        <v>45835</v>
      </c>
      <c r="C177" s="8" t="s">
        <v>16</v>
      </c>
      <c r="D177" s="8" t="s">
        <v>42</v>
      </c>
      <c r="E177" s="8" t="s">
        <v>18</v>
      </c>
      <c r="F177" s="5">
        <v>4653</v>
      </c>
      <c r="G177" s="8" t="s">
        <v>36</v>
      </c>
      <c r="H177" s="8" t="s">
        <v>31</v>
      </c>
      <c r="I177" s="5">
        <v>13</v>
      </c>
      <c r="J177" s="10">
        <v>3741</v>
      </c>
      <c r="K177" s="10">
        <v>48633</v>
      </c>
      <c r="L177" s="10">
        <v>31453</v>
      </c>
      <c r="M177" s="10">
        <v>17180</v>
      </c>
      <c r="N177" s="8" t="s">
        <v>32</v>
      </c>
      <c r="O177" s="8" t="s">
        <v>22</v>
      </c>
      <c r="P177" s="8" t="s">
        <v>29</v>
      </c>
      <c r="Q177" s="3">
        <f t="shared" si="3"/>
        <v>0.35325807579215757</v>
      </c>
      <c r="R177" s="8" t="str" cm="1">
        <f t="array" ref="R177">_xlfn.IFS(Q177&gt;40%,"Alta",Q177&gt;20%,"Média",Q177&lt;20%,"Baixa")</f>
        <v>Média</v>
      </c>
    </row>
    <row r="178" spans="1:18" x14ac:dyDescent="0.25">
      <c r="A178" s="5">
        <v>541</v>
      </c>
      <c r="B178" s="6">
        <v>45691</v>
      </c>
      <c r="C178" s="8" t="s">
        <v>16</v>
      </c>
      <c r="D178" s="8" t="s">
        <v>42</v>
      </c>
      <c r="E178" s="8" t="s">
        <v>18</v>
      </c>
      <c r="F178" s="5">
        <v>5557</v>
      </c>
      <c r="G178" s="8" t="s">
        <v>36</v>
      </c>
      <c r="H178" s="8" t="s">
        <v>27</v>
      </c>
      <c r="I178" s="5">
        <v>13</v>
      </c>
      <c r="J178" s="10">
        <v>3723</v>
      </c>
      <c r="K178" s="10">
        <v>48399</v>
      </c>
      <c r="L178" s="10">
        <v>19867.84</v>
      </c>
      <c r="M178" s="10">
        <v>28531.16</v>
      </c>
      <c r="N178" s="8" t="s">
        <v>21</v>
      </c>
      <c r="O178" s="8" t="s">
        <v>33</v>
      </c>
      <c r="P178" s="8" t="s">
        <v>46</v>
      </c>
      <c r="Q178" s="3">
        <f t="shared" si="3"/>
        <v>0.58949895659001217</v>
      </c>
      <c r="R178" s="8" t="str" cm="1">
        <f t="array" ref="R178">_xlfn.IFS(Q178&gt;40%,"Alta",Q178&gt;20%,"Média",Q178&lt;20%,"Baixa")</f>
        <v>Alta</v>
      </c>
    </row>
    <row r="179" spans="1:18" x14ac:dyDescent="0.25">
      <c r="A179" s="5">
        <v>772</v>
      </c>
      <c r="B179" s="6">
        <v>45779</v>
      </c>
      <c r="C179" s="8" t="s">
        <v>16</v>
      </c>
      <c r="D179" s="8" t="s">
        <v>35</v>
      </c>
      <c r="E179" s="8" t="s">
        <v>18</v>
      </c>
      <c r="F179" s="5">
        <v>4380</v>
      </c>
      <c r="G179" s="8" t="s">
        <v>26</v>
      </c>
      <c r="H179" s="8" t="s">
        <v>27</v>
      </c>
      <c r="I179" s="5">
        <v>12</v>
      </c>
      <c r="J179" s="10">
        <v>4033</v>
      </c>
      <c r="K179" s="10">
        <v>48396</v>
      </c>
      <c r="L179" s="10">
        <v>20907.41</v>
      </c>
      <c r="M179" s="10">
        <v>27488.59</v>
      </c>
      <c r="N179" s="8" t="s">
        <v>21</v>
      </c>
      <c r="O179" s="8" t="s">
        <v>39</v>
      </c>
      <c r="P179" s="8" t="s">
        <v>23</v>
      </c>
      <c r="Q179" s="3">
        <f t="shared" si="3"/>
        <v>0.56799301595173157</v>
      </c>
      <c r="R179" s="8" t="str" cm="1">
        <f t="array" ref="R179">_xlfn.IFS(Q179&gt;40%,"Alta",Q179&gt;20%,"Média",Q179&lt;20%,"Baixa")</f>
        <v>Alta</v>
      </c>
    </row>
    <row r="180" spans="1:18" x14ac:dyDescent="0.25">
      <c r="A180" s="5">
        <v>343</v>
      </c>
      <c r="B180" s="6">
        <v>45833</v>
      </c>
      <c r="C180" s="8" t="s">
        <v>24</v>
      </c>
      <c r="D180" s="8" t="s">
        <v>42</v>
      </c>
      <c r="E180" s="8" t="s">
        <v>41</v>
      </c>
      <c r="F180" s="5">
        <v>2481</v>
      </c>
      <c r="G180" s="8" t="s">
        <v>36</v>
      </c>
      <c r="H180" s="8" t="s">
        <v>43</v>
      </c>
      <c r="I180" s="5">
        <v>20</v>
      </c>
      <c r="J180" s="10">
        <v>2413</v>
      </c>
      <c r="K180" s="10">
        <v>48260</v>
      </c>
      <c r="L180" s="10">
        <v>28607.279999999999</v>
      </c>
      <c r="M180" s="10">
        <v>19652.72</v>
      </c>
      <c r="N180" s="8" t="s">
        <v>28</v>
      </c>
      <c r="O180" s="8" t="s">
        <v>33</v>
      </c>
      <c r="P180" s="8" t="s">
        <v>23</v>
      </c>
      <c r="Q180" s="3">
        <f t="shared" si="3"/>
        <v>0.40722585992540411</v>
      </c>
      <c r="R180" s="8" t="str" cm="1">
        <f t="array" ref="R180">_xlfn.IFS(Q180&gt;40%,"Alta",Q180&gt;20%,"Média",Q180&lt;20%,"Baixa")</f>
        <v>Alta</v>
      </c>
    </row>
    <row r="181" spans="1:18" x14ac:dyDescent="0.25">
      <c r="A181" s="5">
        <v>515</v>
      </c>
      <c r="B181" s="6">
        <v>45726</v>
      </c>
      <c r="C181" s="8" t="s">
        <v>47</v>
      </c>
      <c r="D181" s="8" t="s">
        <v>45</v>
      </c>
      <c r="E181" s="8" t="s">
        <v>18</v>
      </c>
      <c r="F181" s="5">
        <v>1259</v>
      </c>
      <c r="G181" s="8" t="s">
        <v>26</v>
      </c>
      <c r="H181" s="8" t="s">
        <v>43</v>
      </c>
      <c r="I181" s="5">
        <v>18</v>
      </c>
      <c r="J181" s="10">
        <v>2681</v>
      </c>
      <c r="K181" s="10">
        <v>48258</v>
      </c>
      <c r="L181" s="10">
        <v>22000.06</v>
      </c>
      <c r="M181" s="10">
        <v>26257.94</v>
      </c>
      <c r="N181" s="8" t="s">
        <v>32</v>
      </c>
      <c r="O181" s="8" t="s">
        <v>22</v>
      </c>
      <c r="P181" s="8" t="s">
        <v>46</v>
      </c>
      <c r="Q181" s="3">
        <f t="shared" si="3"/>
        <v>0.54411579427245216</v>
      </c>
      <c r="R181" s="8" t="str" cm="1">
        <f t="array" ref="R181">_xlfn.IFS(Q181&gt;40%,"Alta",Q181&gt;20%,"Média",Q181&lt;20%,"Baixa")</f>
        <v>Alta</v>
      </c>
    </row>
    <row r="182" spans="1:18" x14ac:dyDescent="0.25">
      <c r="A182" s="5">
        <v>221</v>
      </c>
      <c r="B182" s="6">
        <v>45668</v>
      </c>
      <c r="C182" s="8" t="s">
        <v>24</v>
      </c>
      <c r="D182" s="8" t="s">
        <v>30</v>
      </c>
      <c r="E182" s="8" t="s">
        <v>41</v>
      </c>
      <c r="F182" s="5">
        <v>1118</v>
      </c>
      <c r="G182" s="8" t="s">
        <v>36</v>
      </c>
      <c r="H182" s="8" t="s">
        <v>20</v>
      </c>
      <c r="I182" s="5">
        <v>12</v>
      </c>
      <c r="J182" s="10">
        <v>4017</v>
      </c>
      <c r="K182" s="10">
        <v>48204</v>
      </c>
      <c r="L182" s="10">
        <v>37010.089999999997</v>
      </c>
      <c r="M182" s="10">
        <v>11193.91</v>
      </c>
      <c r="N182" s="8" t="s">
        <v>21</v>
      </c>
      <c r="O182" s="8" t="s">
        <v>22</v>
      </c>
      <c r="P182" s="8" t="s">
        <v>44</v>
      </c>
      <c r="Q182" s="3">
        <f t="shared" si="3"/>
        <v>0.23221952535059331</v>
      </c>
      <c r="R182" s="8" t="str" cm="1">
        <f t="array" ref="R182">_xlfn.IFS(Q182&gt;40%,"Alta",Q182&gt;20%,"Média",Q182&lt;20%,"Baixa")</f>
        <v>Média</v>
      </c>
    </row>
    <row r="183" spans="1:18" x14ac:dyDescent="0.25">
      <c r="A183" s="5">
        <v>37</v>
      </c>
      <c r="B183" s="6">
        <v>45754</v>
      </c>
      <c r="C183" s="8" t="s">
        <v>16</v>
      </c>
      <c r="D183" s="8" t="s">
        <v>35</v>
      </c>
      <c r="E183" s="8" t="s">
        <v>41</v>
      </c>
      <c r="F183" s="5">
        <v>1890</v>
      </c>
      <c r="G183" s="8" t="s">
        <v>19</v>
      </c>
      <c r="H183" s="8" t="s">
        <v>20</v>
      </c>
      <c r="I183" s="5">
        <v>12</v>
      </c>
      <c r="J183" s="10">
        <v>4001</v>
      </c>
      <c r="K183" s="10">
        <v>48012</v>
      </c>
      <c r="L183" s="10">
        <v>21213.02</v>
      </c>
      <c r="M183" s="10">
        <v>26798.98</v>
      </c>
      <c r="N183" s="8" t="s">
        <v>32</v>
      </c>
      <c r="O183" s="8" t="s">
        <v>33</v>
      </c>
      <c r="P183" s="8" t="s">
        <v>40</v>
      </c>
      <c r="Q183" s="3">
        <f t="shared" si="3"/>
        <v>0.55817254019828377</v>
      </c>
      <c r="R183" s="8" t="str" cm="1">
        <f t="array" ref="R183">_xlfn.IFS(Q183&gt;40%,"Alta",Q183&gt;20%,"Média",Q183&lt;20%,"Baixa")</f>
        <v>Alta</v>
      </c>
    </row>
    <row r="184" spans="1:18" x14ac:dyDescent="0.25">
      <c r="A184" s="5">
        <v>118</v>
      </c>
      <c r="B184" s="6">
        <v>45741</v>
      </c>
      <c r="C184" s="8" t="s">
        <v>34</v>
      </c>
      <c r="D184" s="8" t="s">
        <v>17</v>
      </c>
      <c r="E184" s="8" t="s">
        <v>25</v>
      </c>
      <c r="F184" s="5">
        <v>7757</v>
      </c>
      <c r="G184" s="8" t="s">
        <v>36</v>
      </c>
      <c r="H184" s="8" t="s">
        <v>20</v>
      </c>
      <c r="I184" s="5">
        <v>18</v>
      </c>
      <c r="J184" s="10">
        <v>2664</v>
      </c>
      <c r="K184" s="10">
        <v>47952</v>
      </c>
      <c r="L184" s="10">
        <v>24376.07</v>
      </c>
      <c r="M184" s="10">
        <v>23575.93</v>
      </c>
      <c r="N184" s="8" t="s">
        <v>21</v>
      </c>
      <c r="O184" s="8" t="s">
        <v>33</v>
      </c>
      <c r="P184" s="8" t="s">
        <v>40</v>
      </c>
      <c r="Q184" s="3">
        <f t="shared" si="3"/>
        <v>0.49165686519853186</v>
      </c>
      <c r="R184" s="8" t="str" cm="1">
        <f t="array" ref="R184">_xlfn.IFS(Q184&gt;40%,"Alta",Q184&gt;20%,"Média",Q184&lt;20%,"Baixa")</f>
        <v>Alta</v>
      </c>
    </row>
    <row r="185" spans="1:18" x14ac:dyDescent="0.25">
      <c r="A185" s="5">
        <v>897</v>
      </c>
      <c r="B185" s="6">
        <v>45733</v>
      </c>
      <c r="C185" s="8" t="s">
        <v>47</v>
      </c>
      <c r="D185" s="8" t="s">
        <v>42</v>
      </c>
      <c r="E185" s="8" t="s">
        <v>18</v>
      </c>
      <c r="F185" s="5">
        <v>9607</v>
      </c>
      <c r="G185" s="8" t="s">
        <v>26</v>
      </c>
      <c r="H185" s="8" t="s">
        <v>43</v>
      </c>
      <c r="I185" s="5">
        <v>12</v>
      </c>
      <c r="J185" s="10">
        <v>3977</v>
      </c>
      <c r="K185" s="10">
        <v>47724</v>
      </c>
      <c r="L185" s="10">
        <v>21202.7</v>
      </c>
      <c r="M185" s="10">
        <v>26521.3</v>
      </c>
      <c r="N185" s="8" t="s">
        <v>21</v>
      </c>
      <c r="O185" s="8" t="s">
        <v>22</v>
      </c>
      <c r="P185" s="8" t="s">
        <v>44</v>
      </c>
      <c r="Q185" s="3">
        <f t="shared" si="3"/>
        <v>0.55572248763724752</v>
      </c>
      <c r="R185" s="8" t="str" cm="1">
        <f t="array" ref="R185">_xlfn.IFS(Q185&gt;40%,"Alta",Q185&gt;20%,"Média",Q185&lt;20%,"Baixa")</f>
        <v>Alta</v>
      </c>
    </row>
    <row r="186" spans="1:18" x14ac:dyDescent="0.25">
      <c r="A186" s="5">
        <v>958</v>
      </c>
      <c r="B186" s="6">
        <v>45695</v>
      </c>
      <c r="C186" s="8" t="s">
        <v>34</v>
      </c>
      <c r="D186" s="8" t="s">
        <v>42</v>
      </c>
      <c r="E186" s="8" t="s">
        <v>18</v>
      </c>
      <c r="F186" s="5">
        <v>2503</v>
      </c>
      <c r="G186" s="8" t="s">
        <v>26</v>
      </c>
      <c r="H186" s="8" t="s">
        <v>27</v>
      </c>
      <c r="I186" s="5">
        <v>11</v>
      </c>
      <c r="J186" s="10">
        <v>4336</v>
      </c>
      <c r="K186" s="10">
        <v>47696</v>
      </c>
      <c r="L186" s="10">
        <v>24059.360000000001</v>
      </c>
      <c r="M186" s="10">
        <v>23636.639999999999</v>
      </c>
      <c r="N186" s="8" t="s">
        <v>21</v>
      </c>
      <c r="O186" s="8" t="s">
        <v>39</v>
      </c>
      <c r="P186" s="8" t="s">
        <v>40</v>
      </c>
      <c r="Q186" s="3">
        <f t="shared" si="3"/>
        <v>0.49556860114055684</v>
      </c>
      <c r="R186" s="8" t="str" cm="1">
        <f t="array" ref="R186">_xlfn.IFS(Q186&gt;40%,"Alta",Q186&gt;20%,"Média",Q186&lt;20%,"Baixa")</f>
        <v>Alta</v>
      </c>
    </row>
    <row r="187" spans="1:18" x14ac:dyDescent="0.25">
      <c r="A187" s="5">
        <v>137</v>
      </c>
      <c r="B187" s="6">
        <v>45740</v>
      </c>
      <c r="C187" s="8" t="s">
        <v>47</v>
      </c>
      <c r="D187" s="8" t="s">
        <v>35</v>
      </c>
      <c r="E187" s="8" t="s">
        <v>18</v>
      </c>
      <c r="F187" s="5">
        <v>7352</v>
      </c>
      <c r="G187" s="8" t="s">
        <v>19</v>
      </c>
      <c r="H187" s="8" t="s">
        <v>31</v>
      </c>
      <c r="I187" s="5">
        <v>14</v>
      </c>
      <c r="J187" s="10">
        <v>3402</v>
      </c>
      <c r="K187" s="10">
        <v>47628</v>
      </c>
      <c r="L187" s="10">
        <v>24391.87</v>
      </c>
      <c r="M187" s="10">
        <v>23236.13</v>
      </c>
      <c r="N187" s="8" t="s">
        <v>32</v>
      </c>
      <c r="O187" s="8" t="s">
        <v>33</v>
      </c>
      <c r="P187" s="8" t="s">
        <v>23</v>
      </c>
      <c r="Q187" s="3">
        <f t="shared" si="3"/>
        <v>0.48786701100193164</v>
      </c>
      <c r="R187" s="8" t="str" cm="1">
        <f t="array" ref="R187">_xlfn.IFS(Q187&gt;40%,"Alta",Q187&gt;20%,"Média",Q187&lt;20%,"Baixa")</f>
        <v>Alta</v>
      </c>
    </row>
    <row r="188" spans="1:18" x14ac:dyDescent="0.25">
      <c r="A188" s="5">
        <v>423</v>
      </c>
      <c r="B188" s="6">
        <v>45720</v>
      </c>
      <c r="C188" s="8" t="s">
        <v>16</v>
      </c>
      <c r="D188" s="8" t="s">
        <v>42</v>
      </c>
      <c r="E188" s="8" t="s">
        <v>25</v>
      </c>
      <c r="F188" s="5">
        <v>9159</v>
      </c>
      <c r="G188" s="8" t="s">
        <v>26</v>
      </c>
      <c r="H188" s="8" t="s">
        <v>38</v>
      </c>
      <c r="I188" s="5">
        <v>14</v>
      </c>
      <c r="J188" s="10">
        <v>3398</v>
      </c>
      <c r="K188" s="10">
        <v>47572</v>
      </c>
      <c r="L188" s="10">
        <v>28461.16</v>
      </c>
      <c r="M188" s="10">
        <v>19110.84</v>
      </c>
      <c r="N188" s="8" t="s">
        <v>21</v>
      </c>
      <c r="O188" s="8" t="s">
        <v>22</v>
      </c>
      <c r="P188" s="8" t="s">
        <v>29</v>
      </c>
      <c r="Q188" s="3">
        <f t="shared" si="3"/>
        <v>0.40172454384932316</v>
      </c>
      <c r="R188" s="8" t="str" cm="1">
        <f t="array" ref="R188">_xlfn.IFS(Q188&gt;40%,"Alta",Q188&gt;20%,"Média",Q188&lt;20%,"Baixa")</f>
        <v>Alta</v>
      </c>
    </row>
    <row r="189" spans="1:18" x14ac:dyDescent="0.25">
      <c r="A189" s="5">
        <v>294</v>
      </c>
      <c r="B189" s="6">
        <v>45751</v>
      </c>
      <c r="C189" s="8" t="s">
        <v>34</v>
      </c>
      <c r="D189" s="8" t="s">
        <v>17</v>
      </c>
      <c r="E189" s="8" t="s">
        <v>18</v>
      </c>
      <c r="F189" s="5">
        <v>9595</v>
      </c>
      <c r="G189" s="8" t="s">
        <v>19</v>
      </c>
      <c r="H189" s="8" t="s">
        <v>20</v>
      </c>
      <c r="I189" s="5">
        <v>15</v>
      </c>
      <c r="J189" s="10">
        <v>3164</v>
      </c>
      <c r="K189" s="10">
        <v>47460</v>
      </c>
      <c r="L189" s="10">
        <v>20005.240000000002</v>
      </c>
      <c r="M189" s="10">
        <v>27454.76</v>
      </c>
      <c r="N189" s="8" t="s">
        <v>21</v>
      </c>
      <c r="O189" s="8" t="s">
        <v>22</v>
      </c>
      <c r="P189" s="8" t="s">
        <v>23</v>
      </c>
      <c r="Q189" s="3">
        <f t="shared" si="3"/>
        <v>0.57848209018120522</v>
      </c>
      <c r="R189" s="8" t="str" cm="1">
        <f t="array" ref="R189">_xlfn.IFS(Q189&gt;40%,"Alta",Q189&gt;20%,"Média",Q189&lt;20%,"Baixa")</f>
        <v>Alta</v>
      </c>
    </row>
    <row r="190" spans="1:18" x14ac:dyDescent="0.25">
      <c r="A190" s="5">
        <v>522</v>
      </c>
      <c r="B190" s="6">
        <v>45748</v>
      </c>
      <c r="C190" s="8" t="s">
        <v>24</v>
      </c>
      <c r="D190" s="8" t="s">
        <v>45</v>
      </c>
      <c r="E190" s="8" t="s">
        <v>41</v>
      </c>
      <c r="F190" s="5">
        <v>8814</v>
      </c>
      <c r="G190" s="8" t="s">
        <v>26</v>
      </c>
      <c r="H190" s="8" t="s">
        <v>43</v>
      </c>
      <c r="I190" s="5">
        <v>15</v>
      </c>
      <c r="J190" s="10">
        <v>3159</v>
      </c>
      <c r="K190" s="10">
        <v>47385</v>
      </c>
      <c r="L190" s="10">
        <v>24809.99</v>
      </c>
      <c r="M190" s="10">
        <v>22575.01</v>
      </c>
      <c r="N190" s="8" t="s">
        <v>21</v>
      </c>
      <c r="O190" s="8" t="s">
        <v>22</v>
      </c>
      <c r="P190" s="8" t="s">
        <v>44</v>
      </c>
      <c r="Q190" s="3">
        <f t="shared" si="3"/>
        <v>0.47641679856494668</v>
      </c>
      <c r="R190" s="8" t="str" cm="1">
        <f t="array" ref="R190">_xlfn.IFS(Q190&gt;40%,"Alta",Q190&gt;20%,"Média",Q190&lt;20%,"Baixa")</f>
        <v>Alta</v>
      </c>
    </row>
    <row r="191" spans="1:18" x14ac:dyDescent="0.25">
      <c r="A191" s="5">
        <v>203</v>
      </c>
      <c r="B191" s="6">
        <v>45801</v>
      </c>
      <c r="C191" s="8" t="s">
        <v>47</v>
      </c>
      <c r="D191" s="8" t="s">
        <v>17</v>
      </c>
      <c r="E191" s="8" t="s">
        <v>25</v>
      </c>
      <c r="F191" s="5">
        <v>1535</v>
      </c>
      <c r="G191" s="8" t="s">
        <v>19</v>
      </c>
      <c r="H191" s="8" t="s">
        <v>27</v>
      </c>
      <c r="I191" s="5">
        <v>17</v>
      </c>
      <c r="J191" s="10">
        <v>2772</v>
      </c>
      <c r="K191" s="10">
        <v>47124</v>
      </c>
      <c r="L191" s="10">
        <v>19621.560000000001</v>
      </c>
      <c r="M191" s="10">
        <v>27502.44</v>
      </c>
      <c r="N191" s="8" t="s">
        <v>28</v>
      </c>
      <c r="O191" s="8" t="s">
        <v>33</v>
      </c>
      <c r="P191" s="8" t="s">
        <v>44</v>
      </c>
      <c r="Q191" s="3">
        <f t="shared" si="3"/>
        <v>0.58361853832442068</v>
      </c>
      <c r="R191" s="8" t="str" cm="1">
        <f t="array" ref="R191">_xlfn.IFS(Q191&gt;40%,"Alta",Q191&gt;20%,"Média",Q191&lt;20%,"Baixa")</f>
        <v>Alta</v>
      </c>
    </row>
    <row r="192" spans="1:18" x14ac:dyDescent="0.25">
      <c r="A192" s="5">
        <v>806</v>
      </c>
      <c r="B192" s="6">
        <v>45756</v>
      </c>
      <c r="C192" s="8" t="s">
        <v>24</v>
      </c>
      <c r="D192" s="8" t="s">
        <v>42</v>
      </c>
      <c r="E192" s="8" t="s">
        <v>41</v>
      </c>
      <c r="F192" s="5">
        <v>2575</v>
      </c>
      <c r="G192" s="8" t="s">
        <v>26</v>
      </c>
      <c r="H192" s="8" t="s">
        <v>27</v>
      </c>
      <c r="I192" s="5">
        <v>18</v>
      </c>
      <c r="J192" s="10">
        <v>2615</v>
      </c>
      <c r="K192" s="10">
        <v>47070</v>
      </c>
      <c r="L192" s="10">
        <v>26596.86</v>
      </c>
      <c r="M192" s="10">
        <v>20473.14</v>
      </c>
      <c r="N192" s="8" t="s">
        <v>28</v>
      </c>
      <c r="O192" s="8" t="s">
        <v>22</v>
      </c>
      <c r="P192" s="8" t="s">
        <v>29</v>
      </c>
      <c r="Q192" s="3">
        <f t="shared" si="3"/>
        <v>0.43495092415551306</v>
      </c>
      <c r="R192" s="8" t="str" cm="1">
        <f t="array" ref="R192">_xlfn.IFS(Q192&gt;40%,"Alta",Q192&gt;20%,"Média",Q192&lt;20%,"Baixa")</f>
        <v>Alta</v>
      </c>
    </row>
    <row r="193" spans="1:18" x14ac:dyDescent="0.25">
      <c r="A193" s="5">
        <v>918</v>
      </c>
      <c r="B193" s="6">
        <v>45666</v>
      </c>
      <c r="C193" s="8" t="s">
        <v>47</v>
      </c>
      <c r="D193" s="8" t="s">
        <v>45</v>
      </c>
      <c r="E193" s="8" t="s">
        <v>37</v>
      </c>
      <c r="F193" s="5">
        <v>2630</v>
      </c>
      <c r="G193" s="8" t="s">
        <v>36</v>
      </c>
      <c r="H193" s="8" t="s">
        <v>20</v>
      </c>
      <c r="I193" s="5">
        <v>15</v>
      </c>
      <c r="J193" s="10">
        <v>3133</v>
      </c>
      <c r="K193" s="10">
        <v>46995</v>
      </c>
      <c r="L193" s="10">
        <v>20107.62</v>
      </c>
      <c r="M193" s="10">
        <v>26887.38</v>
      </c>
      <c r="N193" s="8" t="s">
        <v>28</v>
      </c>
      <c r="O193" s="8" t="s">
        <v>22</v>
      </c>
      <c r="P193" s="8" t="s">
        <v>40</v>
      </c>
      <c r="Q193" s="3">
        <f t="shared" si="3"/>
        <v>0.57213278008298762</v>
      </c>
      <c r="R193" s="8" t="str" cm="1">
        <f t="array" ref="R193">_xlfn.IFS(Q193&gt;40%,"Alta",Q193&gt;20%,"Média",Q193&lt;20%,"Baixa")</f>
        <v>Alta</v>
      </c>
    </row>
    <row r="194" spans="1:18" x14ac:dyDescent="0.25">
      <c r="A194" s="5">
        <v>659</v>
      </c>
      <c r="B194" s="6">
        <v>45755</v>
      </c>
      <c r="C194" s="8" t="s">
        <v>24</v>
      </c>
      <c r="D194" s="8" t="s">
        <v>30</v>
      </c>
      <c r="E194" s="8" t="s">
        <v>41</v>
      </c>
      <c r="F194" s="5">
        <v>2349</v>
      </c>
      <c r="G194" s="8" t="s">
        <v>19</v>
      </c>
      <c r="H194" s="8" t="s">
        <v>27</v>
      </c>
      <c r="I194" s="5">
        <v>10</v>
      </c>
      <c r="J194" s="10">
        <v>4698</v>
      </c>
      <c r="K194" s="10">
        <v>46980</v>
      </c>
      <c r="L194" s="10">
        <v>26978.49</v>
      </c>
      <c r="M194" s="10">
        <v>20001.509999999998</v>
      </c>
      <c r="N194" s="8" t="s">
        <v>21</v>
      </c>
      <c r="O194" s="8" t="s">
        <v>33</v>
      </c>
      <c r="P194" s="8" t="s">
        <v>44</v>
      </c>
      <c r="Q194" s="3">
        <f t="shared" ref="Q194:Q257" si="4">M194/K194</f>
        <v>0.42574521072796934</v>
      </c>
      <c r="R194" s="8" t="str" cm="1">
        <f t="array" ref="R194">_xlfn.IFS(Q194&gt;40%,"Alta",Q194&gt;20%,"Média",Q194&lt;20%,"Baixa")</f>
        <v>Alta</v>
      </c>
    </row>
    <row r="195" spans="1:18" x14ac:dyDescent="0.25">
      <c r="A195" s="5">
        <v>267</v>
      </c>
      <c r="B195" s="6">
        <v>45831</v>
      </c>
      <c r="C195" s="8" t="s">
        <v>47</v>
      </c>
      <c r="D195" s="8" t="s">
        <v>35</v>
      </c>
      <c r="E195" s="8" t="s">
        <v>18</v>
      </c>
      <c r="F195" s="5">
        <v>8792</v>
      </c>
      <c r="G195" s="8" t="s">
        <v>19</v>
      </c>
      <c r="H195" s="8" t="s">
        <v>20</v>
      </c>
      <c r="I195" s="5">
        <v>16</v>
      </c>
      <c r="J195" s="10">
        <v>2932</v>
      </c>
      <c r="K195" s="10">
        <v>46912</v>
      </c>
      <c r="L195" s="10">
        <v>35957.71</v>
      </c>
      <c r="M195" s="10">
        <v>10954.29</v>
      </c>
      <c r="N195" s="8" t="s">
        <v>32</v>
      </c>
      <c r="O195" s="8" t="s">
        <v>39</v>
      </c>
      <c r="P195" s="8" t="s">
        <v>46</v>
      </c>
      <c r="Q195" s="3">
        <f t="shared" si="4"/>
        <v>0.23350720497953617</v>
      </c>
      <c r="R195" s="8" t="str" cm="1">
        <f t="array" ref="R195">_xlfn.IFS(Q195&gt;40%,"Alta",Q195&gt;20%,"Média",Q195&lt;20%,"Baixa")</f>
        <v>Média</v>
      </c>
    </row>
    <row r="196" spans="1:18" x14ac:dyDescent="0.25">
      <c r="A196" s="5">
        <v>514</v>
      </c>
      <c r="B196" s="6">
        <v>45699</v>
      </c>
      <c r="C196" s="8" t="s">
        <v>16</v>
      </c>
      <c r="D196" s="8" t="s">
        <v>45</v>
      </c>
      <c r="E196" s="8" t="s">
        <v>18</v>
      </c>
      <c r="F196" s="5">
        <v>6600</v>
      </c>
      <c r="G196" s="8" t="s">
        <v>19</v>
      </c>
      <c r="H196" s="8" t="s">
        <v>27</v>
      </c>
      <c r="I196" s="5">
        <v>12</v>
      </c>
      <c r="J196" s="10">
        <v>3872</v>
      </c>
      <c r="K196" s="10">
        <v>46464</v>
      </c>
      <c r="L196" s="10">
        <v>36502.83</v>
      </c>
      <c r="M196" s="10">
        <v>9961.17</v>
      </c>
      <c r="N196" s="8" t="s">
        <v>28</v>
      </c>
      <c r="O196" s="8" t="s">
        <v>33</v>
      </c>
      <c r="P196" s="8" t="s">
        <v>29</v>
      </c>
      <c r="Q196" s="3">
        <f t="shared" si="4"/>
        <v>0.21438468491735538</v>
      </c>
      <c r="R196" s="8" t="str" cm="1">
        <f t="array" ref="R196">_xlfn.IFS(Q196&gt;40%,"Alta",Q196&gt;20%,"Média",Q196&lt;20%,"Baixa")</f>
        <v>Média</v>
      </c>
    </row>
    <row r="197" spans="1:18" x14ac:dyDescent="0.25">
      <c r="A197" s="5">
        <v>741</v>
      </c>
      <c r="B197" s="6">
        <v>45765</v>
      </c>
      <c r="C197" s="8" t="s">
        <v>16</v>
      </c>
      <c r="D197" s="8" t="s">
        <v>35</v>
      </c>
      <c r="E197" s="8" t="s">
        <v>41</v>
      </c>
      <c r="F197" s="5">
        <v>5119</v>
      </c>
      <c r="G197" s="8" t="s">
        <v>19</v>
      </c>
      <c r="H197" s="8" t="s">
        <v>43</v>
      </c>
      <c r="I197" s="5">
        <v>19</v>
      </c>
      <c r="J197" s="10">
        <v>2444</v>
      </c>
      <c r="K197" s="10">
        <v>46436</v>
      </c>
      <c r="L197" s="10">
        <v>18761.32</v>
      </c>
      <c r="M197" s="10">
        <v>27674.68</v>
      </c>
      <c r="N197" s="8" t="s">
        <v>28</v>
      </c>
      <c r="O197" s="8" t="s">
        <v>22</v>
      </c>
      <c r="P197" s="8" t="s">
        <v>29</v>
      </c>
      <c r="Q197" s="3">
        <f t="shared" si="4"/>
        <v>0.59597467482125932</v>
      </c>
      <c r="R197" s="8" t="str" cm="1">
        <f t="array" ref="R197">_xlfn.IFS(Q197&gt;40%,"Alta",Q197&gt;20%,"Média",Q197&lt;20%,"Baixa")</f>
        <v>Alta</v>
      </c>
    </row>
    <row r="198" spans="1:18" x14ac:dyDescent="0.25">
      <c r="A198" s="5">
        <v>900</v>
      </c>
      <c r="B198" s="6">
        <v>45755</v>
      </c>
      <c r="C198" s="8" t="s">
        <v>16</v>
      </c>
      <c r="D198" s="8" t="s">
        <v>42</v>
      </c>
      <c r="E198" s="8" t="s">
        <v>37</v>
      </c>
      <c r="F198" s="5">
        <v>7155</v>
      </c>
      <c r="G198" s="8" t="s">
        <v>36</v>
      </c>
      <c r="H198" s="8" t="s">
        <v>27</v>
      </c>
      <c r="I198" s="5">
        <v>15</v>
      </c>
      <c r="J198" s="10">
        <v>3088</v>
      </c>
      <c r="K198" s="10">
        <v>46320</v>
      </c>
      <c r="L198" s="10">
        <v>22861.67</v>
      </c>
      <c r="M198" s="10">
        <v>23458.33</v>
      </c>
      <c r="N198" s="8" t="s">
        <v>32</v>
      </c>
      <c r="O198" s="8" t="s">
        <v>22</v>
      </c>
      <c r="P198" s="8" t="s">
        <v>23</v>
      </c>
      <c r="Q198" s="3">
        <f t="shared" si="4"/>
        <v>0.50644063039723664</v>
      </c>
      <c r="R198" s="8" t="str" cm="1">
        <f t="array" ref="R198">_xlfn.IFS(Q198&gt;40%,"Alta",Q198&gt;20%,"Média",Q198&lt;20%,"Baixa")</f>
        <v>Alta</v>
      </c>
    </row>
    <row r="199" spans="1:18" x14ac:dyDescent="0.25">
      <c r="A199" s="5">
        <v>955</v>
      </c>
      <c r="B199" s="6">
        <v>45712</v>
      </c>
      <c r="C199" s="8" t="s">
        <v>24</v>
      </c>
      <c r="D199" s="8" t="s">
        <v>45</v>
      </c>
      <c r="E199" s="8" t="s">
        <v>41</v>
      </c>
      <c r="F199" s="5">
        <v>3943</v>
      </c>
      <c r="G199" s="8" t="s">
        <v>26</v>
      </c>
      <c r="H199" s="8" t="s">
        <v>43</v>
      </c>
      <c r="I199" s="5">
        <v>16</v>
      </c>
      <c r="J199" s="10">
        <v>2892</v>
      </c>
      <c r="K199" s="10">
        <v>46272</v>
      </c>
      <c r="L199" s="10">
        <v>32303.7</v>
      </c>
      <c r="M199" s="10">
        <v>13968.3</v>
      </c>
      <c r="N199" s="8" t="s">
        <v>28</v>
      </c>
      <c r="O199" s="8" t="s">
        <v>39</v>
      </c>
      <c r="P199" s="8" t="s">
        <v>29</v>
      </c>
      <c r="Q199" s="3">
        <f t="shared" si="4"/>
        <v>0.30187370331950208</v>
      </c>
      <c r="R199" s="8" t="str" cm="1">
        <f t="array" ref="R199">_xlfn.IFS(Q199&gt;40%,"Alta",Q199&gt;20%,"Média",Q199&lt;20%,"Baixa")</f>
        <v>Média</v>
      </c>
    </row>
    <row r="200" spans="1:18" x14ac:dyDescent="0.25">
      <c r="A200" s="5">
        <v>237</v>
      </c>
      <c r="B200" s="6">
        <v>45755</v>
      </c>
      <c r="C200" s="8" t="s">
        <v>34</v>
      </c>
      <c r="D200" s="8" t="s">
        <v>35</v>
      </c>
      <c r="E200" s="8" t="s">
        <v>41</v>
      </c>
      <c r="F200" s="5">
        <v>8202</v>
      </c>
      <c r="G200" s="8" t="s">
        <v>36</v>
      </c>
      <c r="H200" s="8" t="s">
        <v>31</v>
      </c>
      <c r="I200" s="5">
        <v>13</v>
      </c>
      <c r="J200" s="10">
        <v>3555</v>
      </c>
      <c r="K200" s="10">
        <v>46215</v>
      </c>
      <c r="L200" s="10">
        <v>31293.65</v>
      </c>
      <c r="M200" s="10">
        <v>14921.35</v>
      </c>
      <c r="N200" s="8" t="s">
        <v>21</v>
      </c>
      <c r="O200" s="8" t="s">
        <v>33</v>
      </c>
      <c r="P200" s="8" t="s">
        <v>40</v>
      </c>
      <c r="Q200" s="3">
        <f t="shared" si="4"/>
        <v>0.32286811641242019</v>
      </c>
      <c r="R200" s="8" t="str" cm="1">
        <f t="array" ref="R200">_xlfn.IFS(Q200&gt;40%,"Alta",Q200&gt;20%,"Média",Q200&lt;20%,"Baixa")</f>
        <v>Média</v>
      </c>
    </row>
    <row r="201" spans="1:18" x14ac:dyDescent="0.25">
      <c r="A201" s="5">
        <v>529</v>
      </c>
      <c r="B201" s="6">
        <v>45802</v>
      </c>
      <c r="C201" s="8" t="s">
        <v>47</v>
      </c>
      <c r="D201" s="8" t="s">
        <v>35</v>
      </c>
      <c r="E201" s="8" t="s">
        <v>18</v>
      </c>
      <c r="F201" s="5">
        <v>9598</v>
      </c>
      <c r="G201" s="8" t="s">
        <v>19</v>
      </c>
      <c r="H201" s="8" t="s">
        <v>43</v>
      </c>
      <c r="I201" s="5">
        <v>14</v>
      </c>
      <c r="J201" s="10">
        <v>3288</v>
      </c>
      <c r="K201" s="10">
        <v>46032</v>
      </c>
      <c r="L201" s="10">
        <v>25028.16</v>
      </c>
      <c r="M201" s="10">
        <v>21003.84</v>
      </c>
      <c r="N201" s="8" t="s">
        <v>21</v>
      </c>
      <c r="O201" s="8" t="s">
        <v>33</v>
      </c>
      <c r="P201" s="8" t="s">
        <v>46</v>
      </c>
      <c r="Q201" s="3">
        <f t="shared" si="4"/>
        <v>0.45628779979144946</v>
      </c>
      <c r="R201" s="8" t="str" cm="1">
        <f t="array" ref="R201">_xlfn.IFS(Q201&gt;40%,"Alta",Q201&gt;20%,"Média",Q201&lt;20%,"Baixa")</f>
        <v>Alta</v>
      </c>
    </row>
    <row r="202" spans="1:18" x14ac:dyDescent="0.25">
      <c r="A202" s="5">
        <v>319</v>
      </c>
      <c r="B202" s="6">
        <v>45812</v>
      </c>
      <c r="C202" s="8" t="s">
        <v>16</v>
      </c>
      <c r="D202" s="8" t="s">
        <v>30</v>
      </c>
      <c r="E202" s="8" t="s">
        <v>25</v>
      </c>
      <c r="F202" s="5">
        <v>4066</v>
      </c>
      <c r="G202" s="8" t="s">
        <v>19</v>
      </c>
      <c r="H202" s="8" t="s">
        <v>20</v>
      </c>
      <c r="I202" s="5">
        <v>19</v>
      </c>
      <c r="J202" s="10">
        <v>2421</v>
      </c>
      <c r="K202" s="10">
        <v>45999</v>
      </c>
      <c r="L202" s="10">
        <v>28074.33</v>
      </c>
      <c r="M202" s="10">
        <v>17924.669999999998</v>
      </c>
      <c r="N202" s="8" t="s">
        <v>32</v>
      </c>
      <c r="O202" s="8" t="s">
        <v>33</v>
      </c>
      <c r="P202" s="8" t="s">
        <v>40</v>
      </c>
      <c r="Q202" s="3">
        <f t="shared" si="4"/>
        <v>0.38967521033065933</v>
      </c>
      <c r="R202" s="8" t="str" cm="1">
        <f t="array" ref="R202">_xlfn.IFS(Q202&gt;40%,"Alta",Q202&gt;20%,"Média",Q202&lt;20%,"Baixa")</f>
        <v>Média</v>
      </c>
    </row>
    <row r="203" spans="1:18" x14ac:dyDescent="0.25">
      <c r="A203" s="5">
        <v>273</v>
      </c>
      <c r="B203" s="6">
        <v>45815</v>
      </c>
      <c r="C203" s="8" t="s">
        <v>16</v>
      </c>
      <c r="D203" s="8" t="s">
        <v>30</v>
      </c>
      <c r="E203" s="8" t="s">
        <v>41</v>
      </c>
      <c r="F203" s="5">
        <v>7369</v>
      </c>
      <c r="G203" s="8" t="s">
        <v>19</v>
      </c>
      <c r="H203" s="8" t="s">
        <v>20</v>
      </c>
      <c r="I203" s="5">
        <v>11</v>
      </c>
      <c r="J203" s="10">
        <v>4170</v>
      </c>
      <c r="K203" s="10">
        <v>45870</v>
      </c>
      <c r="L203" s="10">
        <v>20725.14</v>
      </c>
      <c r="M203" s="10">
        <v>25144.86</v>
      </c>
      <c r="N203" s="8" t="s">
        <v>28</v>
      </c>
      <c r="O203" s="8" t="s">
        <v>22</v>
      </c>
      <c r="P203" s="8" t="s">
        <v>29</v>
      </c>
      <c r="Q203" s="3">
        <f t="shared" si="4"/>
        <v>0.54817658600392416</v>
      </c>
      <c r="R203" s="8" t="str" cm="1">
        <f t="array" ref="R203">_xlfn.IFS(Q203&gt;40%,"Alta",Q203&gt;20%,"Média",Q203&lt;20%,"Baixa")</f>
        <v>Alta</v>
      </c>
    </row>
    <row r="204" spans="1:18" x14ac:dyDescent="0.25">
      <c r="A204" s="5">
        <v>201</v>
      </c>
      <c r="B204" s="6">
        <v>45741</v>
      </c>
      <c r="C204" s="8" t="s">
        <v>34</v>
      </c>
      <c r="D204" s="8" t="s">
        <v>30</v>
      </c>
      <c r="E204" s="8" t="s">
        <v>41</v>
      </c>
      <c r="F204" s="5">
        <v>4691</v>
      </c>
      <c r="G204" s="8" t="s">
        <v>26</v>
      </c>
      <c r="H204" s="8" t="s">
        <v>43</v>
      </c>
      <c r="I204" s="5">
        <v>15</v>
      </c>
      <c r="J204" s="10">
        <v>3042</v>
      </c>
      <c r="K204" s="10">
        <v>45630</v>
      </c>
      <c r="L204" s="10">
        <v>21141.09</v>
      </c>
      <c r="M204" s="10">
        <v>24488.91</v>
      </c>
      <c r="N204" s="8" t="s">
        <v>32</v>
      </c>
      <c r="O204" s="8" t="s">
        <v>22</v>
      </c>
      <c r="P204" s="8" t="s">
        <v>46</v>
      </c>
      <c r="Q204" s="3">
        <f t="shared" si="4"/>
        <v>0.53668441814595658</v>
      </c>
      <c r="R204" s="8" t="str" cm="1">
        <f t="array" ref="R204">_xlfn.IFS(Q204&gt;40%,"Alta",Q204&gt;20%,"Média",Q204&lt;20%,"Baixa")</f>
        <v>Alta</v>
      </c>
    </row>
    <row r="205" spans="1:18" x14ac:dyDescent="0.25">
      <c r="A205" s="5">
        <v>725</v>
      </c>
      <c r="B205" s="6">
        <v>45763</v>
      </c>
      <c r="C205" s="8" t="s">
        <v>24</v>
      </c>
      <c r="D205" s="8" t="s">
        <v>30</v>
      </c>
      <c r="E205" s="8" t="s">
        <v>25</v>
      </c>
      <c r="F205" s="5">
        <v>7981</v>
      </c>
      <c r="G205" s="8" t="s">
        <v>36</v>
      </c>
      <c r="H205" s="8" t="s">
        <v>27</v>
      </c>
      <c r="I205" s="5">
        <v>20</v>
      </c>
      <c r="J205" s="10">
        <v>2281</v>
      </c>
      <c r="K205" s="10">
        <v>45620</v>
      </c>
      <c r="L205" s="10">
        <v>18466.87</v>
      </c>
      <c r="M205" s="10">
        <v>27153.13</v>
      </c>
      <c r="N205" s="8" t="s">
        <v>28</v>
      </c>
      <c r="O205" s="8" t="s">
        <v>22</v>
      </c>
      <c r="P205" s="8" t="s">
        <v>23</v>
      </c>
      <c r="Q205" s="3">
        <f t="shared" si="4"/>
        <v>0.59520232354230607</v>
      </c>
      <c r="R205" s="8" t="str" cm="1">
        <f t="array" ref="R205">_xlfn.IFS(Q205&gt;40%,"Alta",Q205&gt;20%,"Média",Q205&lt;20%,"Baixa")</f>
        <v>Alta</v>
      </c>
    </row>
    <row r="206" spans="1:18" x14ac:dyDescent="0.25">
      <c r="A206" s="5">
        <v>22</v>
      </c>
      <c r="B206" s="6">
        <v>45682</v>
      </c>
      <c r="C206" s="8" t="s">
        <v>16</v>
      </c>
      <c r="D206" s="8" t="s">
        <v>17</v>
      </c>
      <c r="E206" s="8" t="s">
        <v>25</v>
      </c>
      <c r="F206" s="5">
        <v>5399</v>
      </c>
      <c r="G206" s="8" t="s">
        <v>36</v>
      </c>
      <c r="H206" s="8" t="s">
        <v>31</v>
      </c>
      <c r="I206" s="5">
        <v>16</v>
      </c>
      <c r="J206" s="10">
        <v>2850</v>
      </c>
      <c r="K206" s="10">
        <v>45600</v>
      </c>
      <c r="L206" s="10">
        <v>32374.880000000001</v>
      </c>
      <c r="M206" s="10">
        <v>13225.12</v>
      </c>
      <c r="N206" s="8" t="s">
        <v>32</v>
      </c>
      <c r="O206" s="8" t="s">
        <v>33</v>
      </c>
      <c r="P206" s="8" t="s">
        <v>29</v>
      </c>
      <c r="Q206" s="3">
        <f t="shared" si="4"/>
        <v>0.2900245614035088</v>
      </c>
      <c r="R206" s="8" t="str" cm="1">
        <f t="array" ref="R206">_xlfn.IFS(Q206&gt;40%,"Alta",Q206&gt;20%,"Média",Q206&lt;20%,"Baixa")</f>
        <v>Média</v>
      </c>
    </row>
    <row r="207" spans="1:18" x14ac:dyDescent="0.25">
      <c r="A207" s="5">
        <v>957</v>
      </c>
      <c r="B207" s="6">
        <v>45816</v>
      </c>
      <c r="C207" s="8" t="s">
        <v>47</v>
      </c>
      <c r="D207" s="8" t="s">
        <v>42</v>
      </c>
      <c r="E207" s="8" t="s">
        <v>41</v>
      </c>
      <c r="F207" s="5">
        <v>7470</v>
      </c>
      <c r="G207" s="8" t="s">
        <v>36</v>
      </c>
      <c r="H207" s="8" t="s">
        <v>38</v>
      </c>
      <c r="I207" s="5">
        <v>10</v>
      </c>
      <c r="J207" s="10">
        <v>4547</v>
      </c>
      <c r="K207" s="10">
        <v>45470</v>
      </c>
      <c r="L207" s="10">
        <v>29653.05</v>
      </c>
      <c r="M207" s="10">
        <v>15816.95</v>
      </c>
      <c r="N207" s="8" t="s">
        <v>32</v>
      </c>
      <c r="O207" s="8" t="s">
        <v>22</v>
      </c>
      <c r="P207" s="8" t="s">
        <v>23</v>
      </c>
      <c r="Q207" s="3">
        <f t="shared" si="4"/>
        <v>0.34785462942599515</v>
      </c>
      <c r="R207" s="8" t="str" cm="1">
        <f t="array" ref="R207">_xlfn.IFS(Q207&gt;40%,"Alta",Q207&gt;20%,"Média",Q207&lt;20%,"Baixa")</f>
        <v>Média</v>
      </c>
    </row>
    <row r="208" spans="1:18" x14ac:dyDescent="0.25">
      <c r="A208" s="5">
        <v>81</v>
      </c>
      <c r="B208" s="6">
        <v>45813</v>
      </c>
      <c r="C208" s="8" t="s">
        <v>34</v>
      </c>
      <c r="D208" s="8" t="s">
        <v>42</v>
      </c>
      <c r="E208" s="8" t="s">
        <v>25</v>
      </c>
      <c r="F208" s="5">
        <v>6996</v>
      </c>
      <c r="G208" s="8" t="s">
        <v>26</v>
      </c>
      <c r="H208" s="8" t="s">
        <v>43</v>
      </c>
      <c r="I208" s="5">
        <v>19</v>
      </c>
      <c r="J208" s="10">
        <v>2389</v>
      </c>
      <c r="K208" s="10">
        <v>45391</v>
      </c>
      <c r="L208" s="10">
        <v>36136.28</v>
      </c>
      <c r="M208" s="10">
        <v>9254.7199999999993</v>
      </c>
      <c r="N208" s="8" t="s">
        <v>21</v>
      </c>
      <c r="O208" s="8" t="s">
        <v>39</v>
      </c>
      <c r="P208" s="8" t="s">
        <v>44</v>
      </c>
      <c r="Q208" s="3">
        <f t="shared" si="4"/>
        <v>0.20388887664955607</v>
      </c>
      <c r="R208" s="8" t="str" cm="1">
        <f t="array" ref="R208">_xlfn.IFS(Q208&gt;40%,"Alta",Q208&gt;20%,"Média",Q208&lt;20%,"Baixa")</f>
        <v>Média</v>
      </c>
    </row>
    <row r="209" spans="1:18" x14ac:dyDescent="0.25">
      <c r="A209" s="5">
        <v>770</v>
      </c>
      <c r="B209" s="6">
        <v>45701</v>
      </c>
      <c r="C209" s="8" t="s">
        <v>47</v>
      </c>
      <c r="D209" s="8" t="s">
        <v>42</v>
      </c>
      <c r="E209" s="8" t="s">
        <v>25</v>
      </c>
      <c r="F209" s="5">
        <v>4989</v>
      </c>
      <c r="G209" s="8" t="s">
        <v>19</v>
      </c>
      <c r="H209" s="8" t="s">
        <v>43</v>
      </c>
      <c r="I209" s="5">
        <v>14</v>
      </c>
      <c r="J209" s="10">
        <v>3226</v>
      </c>
      <c r="K209" s="10">
        <v>45164</v>
      </c>
      <c r="L209" s="10">
        <v>34349.550000000003</v>
      </c>
      <c r="M209" s="10">
        <v>10814.45</v>
      </c>
      <c r="N209" s="8" t="s">
        <v>28</v>
      </c>
      <c r="O209" s="8" t="s">
        <v>39</v>
      </c>
      <c r="P209" s="8" t="s">
        <v>23</v>
      </c>
      <c r="Q209" s="3">
        <f t="shared" si="4"/>
        <v>0.23944845452130017</v>
      </c>
      <c r="R209" s="8" t="str" cm="1">
        <f t="array" ref="R209">_xlfn.IFS(Q209&gt;40%,"Alta",Q209&gt;20%,"Média",Q209&lt;20%,"Baixa")</f>
        <v>Média</v>
      </c>
    </row>
    <row r="210" spans="1:18" x14ac:dyDescent="0.25">
      <c r="A210" s="5">
        <v>119</v>
      </c>
      <c r="B210" s="6">
        <v>45663</v>
      </c>
      <c r="C210" s="8" t="s">
        <v>24</v>
      </c>
      <c r="D210" s="8" t="s">
        <v>17</v>
      </c>
      <c r="E210" s="8" t="s">
        <v>37</v>
      </c>
      <c r="F210" s="5">
        <v>4786</v>
      </c>
      <c r="G210" s="8" t="s">
        <v>19</v>
      </c>
      <c r="H210" s="8" t="s">
        <v>31</v>
      </c>
      <c r="I210" s="5">
        <v>16</v>
      </c>
      <c r="J210" s="10">
        <v>2819</v>
      </c>
      <c r="K210" s="10">
        <v>45104</v>
      </c>
      <c r="L210" s="10">
        <v>26325.95</v>
      </c>
      <c r="M210" s="10">
        <v>18778.05</v>
      </c>
      <c r="N210" s="8" t="s">
        <v>21</v>
      </c>
      <c r="O210" s="8" t="s">
        <v>33</v>
      </c>
      <c r="P210" s="8" t="s">
        <v>46</v>
      </c>
      <c r="Q210" s="3">
        <f t="shared" si="4"/>
        <v>0.416327820148989</v>
      </c>
      <c r="R210" s="8" t="str" cm="1">
        <f t="array" ref="R210">_xlfn.IFS(Q210&gt;40%,"Alta",Q210&gt;20%,"Média",Q210&lt;20%,"Baixa")</f>
        <v>Alta</v>
      </c>
    </row>
    <row r="211" spans="1:18" x14ac:dyDescent="0.25">
      <c r="A211" s="5">
        <v>209</v>
      </c>
      <c r="B211" s="6">
        <v>45690</v>
      </c>
      <c r="C211" s="8" t="s">
        <v>16</v>
      </c>
      <c r="D211" s="8" t="s">
        <v>30</v>
      </c>
      <c r="E211" s="8" t="s">
        <v>37</v>
      </c>
      <c r="F211" s="5">
        <v>6866</v>
      </c>
      <c r="G211" s="8" t="s">
        <v>26</v>
      </c>
      <c r="H211" s="8" t="s">
        <v>43</v>
      </c>
      <c r="I211" s="5">
        <v>9</v>
      </c>
      <c r="J211" s="10">
        <v>4990</v>
      </c>
      <c r="K211" s="10">
        <v>44910</v>
      </c>
      <c r="L211" s="10">
        <v>21849.200000000001</v>
      </c>
      <c r="M211" s="10">
        <v>23060.799999999999</v>
      </c>
      <c r="N211" s="8" t="s">
        <v>21</v>
      </c>
      <c r="O211" s="8" t="s">
        <v>39</v>
      </c>
      <c r="P211" s="8" t="s">
        <v>23</v>
      </c>
      <c r="Q211" s="3">
        <f t="shared" si="4"/>
        <v>0.51348920062346914</v>
      </c>
      <c r="R211" s="8" t="str" cm="1">
        <f t="array" ref="R211">_xlfn.IFS(Q211&gt;40%,"Alta",Q211&gt;20%,"Média",Q211&lt;20%,"Baixa")</f>
        <v>Alta</v>
      </c>
    </row>
    <row r="212" spans="1:18" x14ac:dyDescent="0.25">
      <c r="A212" s="5">
        <v>951</v>
      </c>
      <c r="B212" s="6">
        <v>45789</v>
      </c>
      <c r="C212" s="8" t="s">
        <v>16</v>
      </c>
      <c r="D212" s="8" t="s">
        <v>30</v>
      </c>
      <c r="E212" s="8" t="s">
        <v>37</v>
      </c>
      <c r="F212" s="5">
        <v>7212</v>
      </c>
      <c r="G212" s="8" t="s">
        <v>26</v>
      </c>
      <c r="H212" s="8" t="s">
        <v>43</v>
      </c>
      <c r="I212" s="5">
        <v>15</v>
      </c>
      <c r="J212" s="10">
        <v>2993</v>
      </c>
      <c r="K212" s="10">
        <v>44895</v>
      </c>
      <c r="L212" s="10">
        <v>25317.86</v>
      </c>
      <c r="M212" s="10">
        <v>19577.14</v>
      </c>
      <c r="N212" s="8" t="s">
        <v>32</v>
      </c>
      <c r="O212" s="8" t="s">
        <v>39</v>
      </c>
      <c r="P212" s="8" t="s">
        <v>29</v>
      </c>
      <c r="Q212" s="3">
        <f t="shared" si="4"/>
        <v>0.43606504065040647</v>
      </c>
      <c r="R212" s="8" t="str" cm="1">
        <f t="array" ref="R212">_xlfn.IFS(Q212&gt;40%,"Alta",Q212&gt;20%,"Média",Q212&lt;20%,"Baixa")</f>
        <v>Alta</v>
      </c>
    </row>
    <row r="213" spans="1:18" x14ac:dyDescent="0.25">
      <c r="A213" s="5">
        <v>457</v>
      </c>
      <c r="B213" s="6">
        <v>45669</v>
      </c>
      <c r="C213" s="8" t="s">
        <v>16</v>
      </c>
      <c r="D213" s="8" t="s">
        <v>42</v>
      </c>
      <c r="E213" s="8" t="s">
        <v>37</v>
      </c>
      <c r="F213" s="5">
        <v>1947</v>
      </c>
      <c r="G213" s="8" t="s">
        <v>26</v>
      </c>
      <c r="H213" s="8" t="s">
        <v>43</v>
      </c>
      <c r="I213" s="5">
        <v>14</v>
      </c>
      <c r="J213" s="10">
        <v>3206</v>
      </c>
      <c r="K213" s="10">
        <v>44884</v>
      </c>
      <c r="L213" s="10">
        <v>33523.360000000001</v>
      </c>
      <c r="M213" s="10">
        <v>11360.64</v>
      </c>
      <c r="N213" s="8" t="s">
        <v>32</v>
      </c>
      <c r="O213" s="8" t="s">
        <v>33</v>
      </c>
      <c r="P213" s="8" t="s">
        <v>29</v>
      </c>
      <c r="Q213" s="3">
        <f t="shared" si="4"/>
        <v>0.25311113091524817</v>
      </c>
      <c r="R213" s="8" t="str" cm="1">
        <f t="array" ref="R213">_xlfn.IFS(Q213&gt;40%,"Alta",Q213&gt;20%,"Média",Q213&lt;20%,"Baixa")</f>
        <v>Média</v>
      </c>
    </row>
    <row r="214" spans="1:18" x14ac:dyDescent="0.25">
      <c r="A214" s="5">
        <v>242</v>
      </c>
      <c r="B214" s="6">
        <v>45697</v>
      </c>
      <c r="C214" s="8" t="s">
        <v>16</v>
      </c>
      <c r="D214" s="8" t="s">
        <v>35</v>
      </c>
      <c r="E214" s="8" t="s">
        <v>25</v>
      </c>
      <c r="F214" s="5">
        <v>2784</v>
      </c>
      <c r="G214" s="8" t="s">
        <v>36</v>
      </c>
      <c r="H214" s="8" t="s">
        <v>20</v>
      </c>
      <c r="I214" s="5">
        <v>11</v>
      </c>
      <c r="J214" s="10">
        <v>4061</v>
      </c>
      <c r="K214" s="10">
        <v>44671</v>
      </c>
      <c r="L214" s="10">
        <v>19212.46</v>
      </c>
      <c r="M214" s="10">
        <v>25458.54</v>
      </c>
      <c r="N214" s="8" t="s">
        <v>21</v>
      </c>
      <c r="O214" s="8" t="s">
        <v>22</v>
      </c>
      <c r="P214" s="8" t="s">
        <v>29</v>
      </c>
      <c r="Q214" s="3">
        <f t="shared" si="4"/>
        <v>0.56991202346041059</v>
      </c>
      <c r="R214" s="8" t="str" cm="1">
        <f t="array" ref="R214">_xlfn.IFS(Q214&gt;40%,"Alta",Q214&gt;20%,"Média",Q214&lt;20%,"Baixa")</f>
        <v>Alta</v>
      </c>
    </row>
    <row r="215" spans="1:18" x14ac:dyDescent="0.25">
      <c r="A215" s="5">
        <v>418</v>
      </c>
      <c r="B215" s="6">
        <v>45693</v>
      </c>
      <c r="C215" s="8" t="s">
        <v>16</v>
      </c>
      <c r="D215" s="8" t="s">
        <v>45</v>
      </c>
      <c r="E215" s="8" t="s">
        <v>37</v>
      </c>
      <c r="F215" s="5">
        <v>7203</v>
      </c>
      <c r="G215" s="8" t="s">
        <v>19</v>
      </c>
      <c r="H215" s="8" t="s">
        <v>20</v>
      </c>
      <c r="I215" s="5">
        <v>10</v>
      </c>
      <c r="J215" s="10">
        <v>4455</v>
      </c>
      <c r="K215" s="10">
        <v>44550</v>
      </c>
      <c r="L215" s="10">
        <v>26358.9</v>
      </c>
      <c r="M215" s="10">
        <v>18191.099999999999</v>
      </c>
      <c r="N215" s="8" t="s">
        <v>28</v>
      </c>
      <c r="O215" s="8" t="s">
        <v>39</v>
      </c>
      <c r="P215" s="8" t="s">
        <v>40</v>
      </c>
      <c r="Q215" s="3">
        <f t="shared" si="4"/>
        <v>0.40832996632996632</v>
      </c>
      <c r="R215" s="8" t="str" cm="1">
        <f t="array" ref="R215">_xlfn.IFS(Q215&gt;40%,"Alta",Q215&gt;20%,"Média",Q215&lt;20%,"Baixa")</f>
        <v>Alta</v>
      </c>
    </row>
    <row r="216" spans="1:18" x14ac:dyDescent="0.25">
      <c r="A216" s="5">
        <v>965</v>
      </c>
      <c r="B216" s="6">
        <v>45775</v>
      </c>
      <c r="C216" s="8" t="s">
        <v>34</v>
      </c>
      <c r="D216" s="8" t="s">
        <v>42</v>
      </c>
      <c r="E216" s="8" t="s">
        <v>41</v>
      </c>
      <c r="F216" s="5">
        <v>7970</v>
      </c>
      <c r="G216" s="8" t="s">
        <v>36</v>
      </c>
      <c r="H216" s="8" t="s">
        <v>31</v>
      </c>
      <c r="I216" s="5">
        <v>13</v>
      </c>
      <c r="J216" s="10">
        <v>3422</v>
      </c>
      <c r="K216" s="10">
        <v>44486</v>
      </c>
      <c r="L216" s="10">
        <v>30944.240000000002</v>
      </c>
      <c r="M216" s="10">
        <v>13541.76</v>
      </c>
      <c r="N216" s="8" t="s">
        <v>21</v>
      </c>
      <c r="O216" s="8" t="s">
        <v>22</v>
      </c>
      <c r="P216" s="8" t="s">
        <v>44</v>
      </c>
      <c r="Q216" s="3">
        <f t="shared" si="4"/>
        <v>0.30440498134244481</v>
      </c>
      <c r="R216" s="8" t="str" cm="1">
        <f t="array" ref="R216">_xlfn.IFS(Q216&gt;40%,"Alta",Q216&gt;20%,"Média",Q216&lt;20%,"Baixa")</f>
        <v>Média</v>
      </c>
    </row>
    <row r="217" spans="1:18" x14ac:dyDescent="0.25">
      <c r="A217" s="5">
        <v>546</v>
      </c>
      <c r="B217" s="6">
        <v>45813</v>
      </c>
      <c r="C217" s="8" t="s">
        <v>16</v>
      </c>
      <c r="D217" s="8" t="s">
        <v>17</v>
      </c>
      <c r="E217" s="8" t="s">
        <v>37</v>
      </c>
      <c r="F217" s="5">
        <v>6032</v>
      </c>
      <c r="G217" s="8" t="s">
        <v>36</v>
      </c>
      <c r="H217" s="8" t="s">
        <v>38</v>
      </c>
      <c r="I217" s="5">
        <v>12</v>
      </c>
      <c r="J217" s="10">
        <v>3679</v>
      </c>
      <c r="K217" s="10">
        <v>44148</v>
      </c>
      <c r="L217" s="10">
        <v>23799.42</v>
      </c>
      <c r="M217" s="10">
        <v>20348.580000000002</v>
      </c>
      <c r="N217" s="8" t="s">
        <v>28</v>
      </c>
      <c r="O217" s="8" t="s">
        <v>39</v>
      </c>
      <c r="P217" s="8" t="s">
        <v>29</v>
      </c>
      <c r="Q217" s="3">
        <f t="shared" si="4"/>
        <v>0.4609173688502311</v>
      </c>
      <c r="R217" s="8" t="str" cm="1">
        <f t="array" ref="R217">_xlfn.IFS(Q217&gt;40%,"Alta",Q217&gt;20%,"Média",Q217&lt;20%,"Baixa")</f>
        <v>Alta</v>
      </c>
    </row>
    <row r="218" spans="1:18" x14ac:dyDescent="0.25">
      <c r="A218" s="5">
        <v>406</v>
      </c>
      <c r="B218" s="6">
        <v>45720</v>
      </c>
      <c r="C218" s="8" t="s">
        <v>24</v>
      </c>
      <c r="D218" s="8" t="s">
        <v>17</v>
      </c>
      <c r="E218" s="8" t="s">
        <v>37</v>
      </c>
      <c r="F218" s="5">
        <v>9913</v>
      </c>
      <c r="G218" s="8" t="s">
        <v>19</v>
      </c>
      <c r="H218" s="8" t="s">
        <v>27</v>
      </c>
      <c r="I218" s="5">
        <v>13</v>
      </c>
      <c r="J218" s="10">
        <v>3384</v>
      </c>
      <c r="K218" s="10">
        <v>43992</v>
      </c>
      <c r="L218" s="10">
        <v>22853.39</v>
      </c>
      <c r="M218" s="10">
        <v>21138.61</v>
      </c>
      <c r="N218" s="8" t="s">
        <v>28</v>
      </c>
      <c r="O218" s="8" t="s">
        <v>33</v>
      </c>
      <c r="P218" s="8" t="s">
        <v>44</v>
      </c>
      <c r="Q218" s="3">
        <f t="shared" si="4"/>
        <v>0.48051032005819239</v>
      </c>
      <c r="R218" s="8" t="str" cm="1">
        <f t="array" ref="R218">_xlfn.IFS(Q218&gt;40%,"Alta",Q218&gt;20%,"Média",Q218&lt;20%,"Baixa")</f>
        <v>Alta</v>
      </c>
    </row>
    <row r="219" spans="1:18" x14ac:dyDescent="0.25">
      <c r="A219" s="5">
        <v>449</v>
      </c>
      <c r="B219" s="6">
        <v>45749</v>
      </c>
      <c r="C219" s="8" t="s">
        <v>16</v>
      </c>
      <c r="D219" s="8" t="s">
        <v>17</v>
      </c>
      <c r="E219" s="8" t="s">
        <v>37</v>
      </c>
      <c r="F219" s="5">
        <v>9748</v>
      </c>
      <c r="G219" s="8" t="s">
        <v>36</v>
      </c>
      <c r="H219" s="8" t="s">
        <v>20</v>
      </c>
      <c r="I219" s="5">
        <v>10</v>
      </c>
      <c r="J219" s="10">
        <v>4399</v>
      </c>
      <c r="K219" s="10">
        <v>43990</v>
      </c>
      <c r="L219" s="10">
        <v>18541.599999999999</v>
      </c>
      <c r="M219" s="10">
        <v>25448.400000000001</v>
      </c>
      <c r="N219" s="8" t="s">
        <v>32</v>
      </c>
      <c r="O219" s="8" t="s">
        <v>33</v>
      </c>
      <c r="P219" s="8" t="s">
        <v>40</v>
      </c>
      <c r="Q219" s="3">
        <f t="shared" si="4"/>
        <v>0.57850420550125037</v>
      </c>
      <c r="R219" s="8" t="str" cm="1">
        <f t="array" ref="R219">_xlfn.IFS(Q219&gt;40%,"Alta",Q219&gt;20%,"Média",Q219&lt;20%,"Baixa")</f>
        <v>Alta</v>
      </c>
    </row>
    <row r="220" spans="1:18" x14ac:dyDescent="0.25">
      <c r="A220" s="5">
        <v>880</v>
      </c>
      <c r="B220" s="6">
        <v>45737</v>
      </c>
      <c r="C220" s="8" t="s">
        <v>24</v>
      </c>
      <c r="D220" s="8" t="s">
        <v>35</v>
      </c>
      <c r="E220" s="8" t="s">
        <v>18</v>
      </c>
      <c r="F220" s="5">
        <v>5404</v>
      </c>
      <c r="G220" s="8" t="s">
        <v>26</v>
      </c>
      <c r="H220" s="8" t="s">
        <v>27</v>
      </c>
      <c r="I220" s="5">
        <v>13</v>
      </c>
      <c r="J220" s="10">
        <v>3379</v>
      </c>
      <c r="K220" s="10">
        <v>43927</v>
      </c>
      <c r="L220" s="10">
        <v>29839.33</v>
      </c>
      <c r="M220" s="10">
        <v>14087.67</v>
      </c>
      <c r="N220" s="8" t="s">
        <v>28</v>
      </c>
      <c r="O220" s="8" t="s">
        <v>22</v>
      </c>
      <c r="P220" s="8" t="s">
        <v>44</v>
      </c>
      <c r="Q220" s="3">
        <f t="shared" si="4"/>
        <v>0.32070639925330663</v>
      </c>
      <c r="R220" s="8" t="str" cm="1">
        <f t="array" ref="R220">_xlfn.IFS(Q220&gt;40%,"Alta",Q220&gt;20%,"Média",Q220&lt;20%,"Baixa")</f>
        <v>Média</v>
      </c>
    </row>
    <row r="221" spans="1:18" x14ac:dyDescent="0.25">
      <c r="A221" s="5">
        <v>505</v>
      </c>
      <c r="B221" s="6">
        <v>45677</v>
      </c>
      <c r="C221" s="8" t="s">
        <v>16</v>
      </c>
      <c r="D221" s="8" t="s">
        <v>30</v>
      </c>
      <c r="E221" s="8" t="s">
        <v>18</v>
      </c>
      <c r="F221" s="5">
        <v>6508</v>
      </c>
      <c r="G221" s="8" t="s">
        <v>19</v>
      </c>
      <c r="H221" s="8" t="s">
        <v>31</v>
      </c>
      <c r="I221" s="5">
        <v>9</v>
      </c>
      <c r="J221" s="10">
        <v>4874</v>
      </c>
      <c r="K221" s="10">
        <v>43866</v>
      </c>
      <c r="L221" s="10">
        <v>24133.02</v>
      </c>
      <c r="M221" s="10">
        <v>19732.98</v>
      </c>
      <c r="N221" s="8" t="s">
        <v>28</v>
      </c>
      <c r="O221" s="8" t="s">
        <v>22</v>
      </c>
      <c r="P221" s="8" t="s">
        <v>29</v>
      </c>
      <c r="Q221" s="3">
        <f t="shared" si="4"/>
        <v>0.44984680618246475</v>
      </c>
      <c r="R221" s="8" t="str" cm="1">
        <f t="array" ref="R221">_xlfn.IFS(Q221&gt;40%,"Alta",Q221&gt;20%,"Média",Q221&lt;20%,"Baixa")</f>
        <v>Alta</v>
      </c>
    </row>
    <row r="222" spans="1:18" x14ac:dyDescent="0.25">
      <c r="A222" s="5">
        <v>724</v>
      </c>
      <c r="B222" s="6">
        <v>45719</v>
      </c>
      <c r="C222" s="8" t="s">
        <v>34</v>
      </c>
      <c r="D222" s="8" t="s">
        <v>35</v>
      </c>
      <c r="E222" s="8" t="s">
        <v>25</v>
      </c>
      <c r="F222" s="5">
        <v>4978</v>
      </c>
      <c r="G222" s="8" t="s">
        <v>26</v>
      </c>
      <c r="H222" s="8" t="s">
        <v>31</v>
      </c>
      <c r="I222" s="5">
        <v>19</v>
      </c>
      <c r="J222" s="10">
        <v>2299</v>
      </c>
      <c r="K222" s="10">
        <v>43681</v>
      </c>
      <c r="L222" s="10">
        <v>24366.43</v>
      </c>
      <c r="M222" s="10">
        <v>19314.57</v>
      </c>
      <c r="N222" s="8" t="s">
        <v>32</v>
      </c>
      <c r="O222" s="8" t="s">
        <v>39</v>
      </c>
      <c r="P222" s="8" t="s">
        <v>29</v>
      </c>
      <c r="Q222" s="3">
        <f t="shared" si="4"/>
        <v>0.4421732561067741</v>
      </c>
      <c r="R222" s="8" t="str" cm="1">
        <f t="array" ref="R222">_xlfn.IFS(Q222&gt;40%,"Alta",Q222&gt;20%,"Média",Q222&lt;20%,"Baixa")</f>
        <v>Alta</v>
      </c>
    </row>
    <row r="223" spans="1:18" x14ac:dyDescent="0.25">
      <c r="A223" s="5">
        <v>34</v>
      </c>
      <c r="B223" s="6">
        <v>45825</v>
      </c>
      <c r="C223" s="8" t="s">
        <v>16</v>
      </c>
      <c r="D223" s="8" t="s">
        <v>42</v>
      </c>
      <c r="E223" s="8" t="s">
        <v>41</v>
      </c>
      <c r="F223" s="5">
        <v>5625</v>
      </c>
      <c r="G223" s="8" t="s">
        <v>36</v>
      </c>
      <c r="H223" s="8" t="s">
        <v>27</v>
      </c>
      <c r="I223" s="5">
        <v>16</v>
      </c>
      <c r="J223" s="10">
        <v>2726</v>
      </c>
      <c r="K223" s="10">
        <v>43616</v>
      </c>
      <c r="L223" s="10">
        <v>33314.15</v>
      </c>
      <c r="M223" s="10">
        <v>10301.85</v>
      </c>
      <c r="N223" s="8" t="s">
        <v>32</v>
      </c>
      <c r="O223" s="8" t="s">
        <v>22</v>
      </c>
      <c r="P223" s="8" t="s">
        <v>29</v>
      </c>
      <c r="Q223" s="3">
        <f t="shared" si="4"/>
        <v>0.23619428650036683</v>
      </c>
      <c r="R223" s="8" t="str" cm="1">
        <f t="array" ref="R223">_xlfn.IFS(Q223&gt;40%,"Alta",Q223&gt;20%,"Média",Q223&lt;20%,"Baixa")</f>
        <v>Média</v>
      </c>
    </row>
    <row r="224" spans="1:18" x14ac:dyDescent="0.25">
      <c r="A224" s="5">
        <v>134</v>
      </c>
      <c r="B224" s="6">
        <v>45696</v>
      </c>
      <c r="C224" s="8" t="s">
        <v>24</v>
      </c>
      <c r="D224" s="8" t="s">
        <v>30</v>
      </c>
      <c r="E224" s="8" t="s">
        <v>25</v>
      </c>
      <c r="F224" s="5">
        <v>8949</v>
      </c>
      <c r="G224" s="8" t="s">
        <v>36</v>
      </c>
      <c r="H224" s="8" t="s">
        <v>43</v>
      </c>
      <c r="I224" s="5">
        <v>9</v>
      </c>
      <c r="J224" s="10">
        <v>4837</v>
      </c>
      <c r="K224" s="10">
        <v>43533</v>
      </c>
      <c r="L224" s="10">
        <v>29112.81</v>
      </c>
      <c r="M224" s="10">
        <v>14420.19</v>
      </c>
      <c r="N224" s="8" t="s">
        <v>28</v>
      </c>
      <c r="O224" s="8" t="s">
        <v>22</v>
      </c>
      <c r="P224" s="8" t="s">
        <v>23</v>
      </c>
      <c r="Q224" s="3">
        <f t="shared" si="4"/>
        <v>0.33124732961201847</v>
      </c>
      <c r="R224" s="8" t="str" cm="1">
        <f t="array" ref="R224">_xlfn.IFS(Q224&gt;40%,"Alta",Q224&gt;20%,"Média",Q224&lt;20%,"Baixa")</f>
        <v>Média</v>
      </c>
    </row>
    <row r="225" spans="1:18" x14ac:dyDescent="0.25">
      <c r="A225" s="5">
        <v>947</v>
      </c>
      <c r="B225" s="6">
        <v>45733</v>
      </c>
      <c r="C225" s="8" t="s">
        <v>47</v>
      </c>
      <c r="D225" s="8" t="s">
        <v>17</v>
      </c>
      <c r="E225" s="8" t="s">
        <v>41</v>
      </c>
      <c r="F225" s="5">
        <v>6615</v>
      </c>
      <c r="G225" s="8" t="s">
        <v>19</v>
      </c>
      <c r="H225" s="8" t="s">
        <v>27</v>
      </c>
      <c r="I225" s="5">
        <v>18</v>
      </c>
      <c r="J225" s="10">
        <v>2415</v>
      </c>
      <c r="K225" s="10">
        <v>43470</v>
      </c>
      <c r="L225" s="10">
        <v>24797.47</v>
      </c>
      <c r="M225" s="10">
        <v>18672.53</v>
      </c>
      <c r="N225" s="8" t="s">
        <v>21</v>
      </c>
      <c r="O225" s="8" t="s">
        <v>22</v>
      </c>
      <c r="P225" s="8" t="s">
        <v>29</v>
      </c>
      <c r="Q225" s="3">
        <f t="shared" si="4"/>
        <v>0.42954980446284791</v>
      </c>
      <c r="R225" s="8" t="str" cm="1">
        <f t="array" ref="R225">_xlfn.IFS(Q225&gt;40%,"Alta",Q225&gt;20%,"Média",Q225&lt;20%,"Baixa")</f>
        <v>Alta</v>
      </c>
    </row>
    <row r="226" spans="1:18" x14ac:dyDescent="0.25">
      <c r="A226" s="5">
        <v>473</v>
      </c>
      <c r="B226" s="6">
        <v>45824</v>
      </c>
      <c r="C226" s="8" t="s">
        <v>16</v>
      </c>
      <c r="D226" s="8" t="s">
        <v>42</v>
      </c>
      <c r="E226" s="8" t="s">
        <v>37</v>
      </c>
      <c r="F226" s="5">
        <v>9363</v>
      </c>
      <c r="G226" s="8" t="s">
        <v>26</v>
      </c>
      <c r="H226" s="8" t="s">
        <v>38</v>
      </c>
      <c r="I226" s="5">
        <v>14</v>
      </c>
      <c r="J226" s="10">
        <v>3101</v>
      </c>
      <c r="K226" s="10">
        <v>43414</v>
      </c>
      <c r="L226" s="10">
        <v>24074.06</v>
      </c>
      <c r="M226" s="10">
        <v>19339.939999999999</v>
      </c>
      <c r="N226" s="8" t="s">
        <v>32</v>
      </c>
      <c r="O226" s="8" t="s">
        <v>22</v>
      </c>
      <c r="P226" s="8" t="s">
        <v>44</v>
      </c>
      <c r="Q226" s="3">
        <f t="shared" si="4"/>
        <v>0.44547703505781544</v>
      </c>
      <c r="R226" s="8" t="str" cm="1">
        <f t="array" ref="R226">_xlfn.IFS(Q226&gt;40%,"Alta",Q226&gt;20%,"Média",Q226&lt;20%,"Baixa")</f>
        <v>Alta</v>
      </c>
    </row>
    <row r="227" spans="1:18" x14ac:dyDescent="0.25">
      <c r="A227" s="5">
        <v>936</v>
      </c>
      <c r="B227" s="6">
        <v>45733</v>
      </c>
      <c r="C227" s="8" t="s">
        <v>16</v>
      </c>
      <c r="D227" s="8" t="s">
        <v>45</v>
      </c>
      <c r="E227" s="8" t="s">
        <v>37</v>
      </c>
      <c r="F227" s="5">
        <v>5425</v>
      </c>
      <c r="G227" s="8" t="s">
        <v>19</v>
      </c>
      <c r="H227" s="8" t="s">
        <v>31</v>
      </c>
      <c r="I227" s="5">
        <v>16</v>
      </c>
      <c r="J227" s="10">
        <v>2707</v>
      </c>
      <c r="K227" s="10">
        <v>43312</v>
      </c>
      <c r="L227" s="10">
        <v>22996.799999999999</v>
      </c>
      <c r="M227" s="10">
        <v>20315.2</v>
      </c>
      <c r="N227" s="8" t="s">
        <v>32</v>
      </c>
      <c r="O227" s="8" t="s">
        <v>33</v>
      </c>
      <c r="P227" s="8" t="s">
        <v>23</v>
      </c>
      <c r="Q227" s="3">
        <f t="shared" si="4"/>
        <v>0.46904322127816772</v>
      </c>
      <c r="R227" s="8" t="str" cm="1">
        <f t="array" ref="R227">_xlfn.IFS(Q227&gt;40%,"Alta",Q227&gt;20%,"Média",Q227&lt;20%,"Baixa")</f>
        <v>Alta</v>
      </c>
    </row>
    <row r="228" spans="1:18" x14ac:dyDescent="0.25">
      <c r="A228" s="5">
        <v>107</v>
      </c>
      <c r="B228" s="6">
        <v>45726</v>
      </c>
      <c r="C228" s="8" t="s">
        <v>24</v>
      </c>
      <c r="D228" s="8" t="s">
        <v>45</v>
      </c>
      <c r="E228" s="8" t="s">
        <v>41</v>
      </c>
      <c r="F228" s="5">
        <v>5348</v>
      </c>
      <c r="G228" s="8" t="s">
        <v>26</v>
      </c>
      <c r="H228" s="8" t="s">
        <v>43</v>
      </c>
      <c r="I228" s="5">
        <v>11</v>
      </c>
      <c r="J228" s="10">
        <v>3937</v>
      </c>
      <c r="K228" s="10">
        <v>43307</v>
      </c>
      <c r="L228" s="10">
        <v>27254.06</v>
      </c>
      <c r="M228" s="10">
        <v>16052.94</v>
      </c>
      <c r="N228" s="8" t="s">
        <v>28</v>
      </c>
      <c r="O228" s="8" t="s">
        <v>33</v>
      </c>
      <c r="P228" s="8" t="s">
        <v>29</v>
      </c>
      <c r="Q228" s="3">
        <f t="shared" si="4"/>
        <v>0.37067771953725726</v>
      </c>
      <c r="R228" s="8" t="str" cm="1">
        <f t="array" ref="R228">_xlfn.IFS(Q228&gt;40%,"Alta",Q228&gt;20%,"Média",Q228&lt;20%,"Baixa")</f>
        <v>Média</v>
      </c>
    </row>
    <row r="229" spans="1:18" x14ac:dyDescent="0.25">
      <c r="A229" s="5">
        <v>483</v>
      </c>
      <c r="B229" s="6">
        <v>45759</v>
      </c>
      <c r="C229" s="8" t="s">
        <v>47</v>
      </c>
      <c r="D229" s="8" t="s">
        <v>45</v>
      </c>
      <c r="E229" s="8" t="s">
        <v>18</v>
      </c>
      <c r="F229" s="5">
        <v>6197</v>
      </c>
      <c r="G229" s="8" t="s">
        <v>19</v>
      </c>
      <c r="H229" s="8" t="s">
        <v>27</v>
      </c>
      <c r="I229" s="5">
        <v>14</v>
      </c>
      <c r="J229" s="10">
        <v>3085</v>
      </c>
      <c r="K229" s="10">
        <v>43190</v>
      </c>
      <c r="L229" s="10">
        <v>26359.279999999999</v>
      </c>
      <c r="M229" s="10">
        <v>16830.72</v>
      </c>
      <c r="N229" s="8" t="s">
        <v>32</v>
      </c>
      <c r="O229" s="8" t="s">
        <v>22</v>
      </c>
      <c r="P229" s="8" t="s">
        <v>46</v>
      </c>
      <c r="Q229" s="3">
        <f t="shared" si="4"/>
        <v>0.38969020606621907</v>
      </c>
      <c r="R229" s="8" t="str" cm="1">
        <f t="array" ref="R229">_xlfn.IFS(Q229&gt;40%,"Alta",Q229&gt;20%,"Média",Q229&lt;20%,"Baixa")</f>
        <v>Média</v>
      </c>
    </row>
    <row r="230" spans="1:18" x14ac:dyDescent="0.25">
      <c r="A230" s="5">
        <v>871</v>
      </c>
      <c r="B230" s="6">
        <v>45806</v>
      </c>
      <c r="C230" s="8" t="s">
        <v>16</v>
      </c>
      <c r="D230" s="8" t="s">
        <v>30</v>
      </c>
      <c r="E230" s="8" t="s">
        <v>37</v>
      </c>
      <c r="F230" s="5">
        <v>2318</v>
      </c>
      <c r="G230" s="8" t="s">
        <v>26</v>
      </c>
      <c r="H230" s="8" t="s">
        <v>31</v>
      </c>
      <c r="I230" s="5">
        <v>16</v>
      </c>
      <c r="J230" s="10">
        <v>2697</v>
      </c>
      <c r="K230" s="10">
        <v>43152</v>
      </c>
      <c r="L230" s="10">
        <v>24253.040000000001</v>
      </c>
      <c r="M230" s="10">
        <v>18898.96</v>
      </c>
      <c r="N230" s="8" t="s">
        <v>21</v>
      </c>
      <c r="O230" s="8" t="s">
        <v>39</v>
      </c>
      <c r="P230" s="8" t="s">
        <v>46</v>
      </c>
      <c r="Q230" s="3">
        <f t="shared" si="4"/>
        <v>0.4379625509825732</v>
      </c>
      <c r="R230" s="8" t="str" cm="1">
        <f t="array" ref="R230">_xlfn.IFS(Q230&gt;40%,"Alta",Q230&gt;20%,"Média",Q230&lt;20%,"Baixa")</f>
        <v>Alta</v>
      </c>
    </row>
    <row r="231" spans="1:18" x14ac:dyDescent="0.25">
      <c r="A231" s="5">
        <v>836</v>
      </c>
      <c r="B231" s="6">
        <v>45687</v>
      </c>
      <c r="C231" s="8" t="s">
        <v>34</v>
      </c>
      <c r="D231" s="8" t="s">
        <v>30</v>
      </c>
      <c r="E231" s="8" t="s">
        <v>18</v>
      </c>
      <c r="F231" s="5">
        <v>9663</v>
      </c>
      <c r="G231" s="8" t="s">
        <v>26</v>
      </c>
      <c r="H231" s="8" t="s">
        <v>31</v>
      </c>
      <c r="I231" s="5">
        <v>19</v>
      </c>
      <c r="J231" s="10">
        <v>2264</v>
      </c>
      <c r="K231" s="10">
        <v>43016</v>
      </c>
      <c r="L231" s="10">
        <v>30384.83</v>
      </c>
      <c r="M231" s="10">
        <v>12631.17</v>
      </c>
      <c r="N231" s="8" t="s">
        <v>32</v>
      </c>
      <c r="O231" s="8" t="s">
        <v>22</v>
      </c>
      <c r="P231" s="8" t="s">
        <v>23</v>
      </c>
      <c r="Q231" s="3">
        <f t="shared" si="4"/>
        <v>0.29363887855681609</v>
      </c>
      <c r="R231" s="8" t="str" cm="1">
        <f t="array" ref="R231">_xlfn.IFS(Q231&gt;40%,"Alta",Q231&gt;20%,"Média",Q231&lt;20%,"Baixa")</f>
        <v>Média</v>
      </c>
    </row>
    <row r="232" spans="1:18" x14ac:dyDescent="0.25">
      <c r="A232" s="5">
        <v>58</v>
      </c>
      <c r="B232" s="6">
        <v>45750</v>
      </c>
      <c r="C232" s="8" t="s">
        <v>16</v>
      </c>
      <c r="D232" s="8" t="s">
        <v>35</v>
      </c>
      <c r="E232" s="8" t="s">
        <v>25</v>
      </c>
      <c r="F232" s="5">
        <v>3587</v>
      </c>
      <c r="G232" s="8" t="s">
        <v>36</v>
      </c>
      <c r="H232" s="8" t="s">
        <v>31</v>
      </c>
      <c r="I232" s="5">
        <v>17</v>
      </c>
      <c r="J232" s="10">
        <v>2525</v>
      </c>
      <c r="K232" s="10">
        <v>42925</v>
      </c>
      <c r="L232" s="10">
        <v>31034.78</v>
      </c>
      <c r="M232" s="10">
        <v>11890.22</v>
      </c>
      <c r="N232" s="8" t="s">
        <v>32</v>
      </c>
      <c r="O232" s="8" t="s">
        <v>33</v>
      </c>
      <c r="P232" s="8" t="s">
        <v>29</v>
      </c>
      <c r="Q232" s="3">
        <f t="shared" si="4"/>
        <v>0.2769998835177635</v>
      </c>
      <c r="R232" s="8" t="str" cm="1">
        <f t="array" ref="R232">_xlfn.IFS(Q232&gt;40%,"Alta",Q232&gt;20%,"Média",Q232&lt;20%,"Baixa")</f>
        <v>Média</v>
      </c>
    </row>
    <row r="233" spans="1:18" x14ac:dyDescent="0.25">
      <c r="A233" s="5">
        <v>560</v>
      </c>
      <c r="B233" s="6">
        <v>45753</v>
      </c>
      <c r="C233" s="8" t="s">
        <v>24</v>
      </c>
      <c r="D233" s="8" t="s">
        <v>17</v>
      </c>
      <c r="E233" s="8" t="s">
        <v>18</v>
      </c>
      <c r="F233" s="5">
        <v>6759</v>
      </c>
      <c r="G233" s="8" t="s">
        <v>19</v>
      </c>
      <c r="H233" s="8" t="s">
        <v>31</v>
      </c>
      <c r="I233" s="5">
        <v>11</v>
      </c>
      <c r="J233" s="10">
        <v>3901</v>
      </c>
      <c r="K233" s="10">
        <v>42911</v>
      </c>
      <c r="L233" s="10">
        <v>17203.400000000001</v>
      </c>
      <c r="M233" s="10">
        <v>25707.599999999999</v>
      </c>
      <c r="N233" s="8" t="s">
        <v>21</v>
      </c>
      <c r="O233" s="8" t="s">
        <v>22</v>
      </c>
      <c r="P233" s="8" t="s">
        <v>40</v>
      </c>
      <c r="Q233" s="3">
        <f t="shared" si="4"/>
        <v>0.59909114213138814</v>
      </c>
      <c r="R233" s="8" t="str" cm="1">
        <f t="array" ref="R233">_xlfn.IFS(Q233&gt;40%,"Alta",Q233&gt;20%,"Média",Q233&lt;20%,"Baixa")</f>
        <v>Alta</v>
      </c>
    </row>
    <row r="234" spans="1:18" x14ac:dyDescent="0.25">
      <c r="A234" s="5">
        <v>665</v>
      </c>
      <c r="B234" s="6">
        <v>45830</v>
      </c>
      <c r="C234" s="8" t="s">
        <v>16</v>
      </c>
      <c r="D234" s="8" t="s">
        <v>45</v>
      </c>
      <c r="E234" s="8" t="s">
        <v>18</v>
      </c>
      <c r="F234" s="5">
        <v>6741</v>
      </c>
      <c r="G234" s="8" t="s">
        <v>26</v>
      </c>
      <c r="H234" s="8" t="s">
        <v>43</v>
      </c>
      <c r="I234" s="5">
        <v>17</v>
      </c>
      <c r="J234" s="10">
        <v>2521</v>
      </c>
      <c r="K234" s="10">
        <v>42857</v>
      </c>
      <c r="L234" s="10">
        <v>34281.449999999997</v>
      </c>
      <c r="M234" s="10">
        <v>8575.5499999999993</v>
      </c>
      <c r="N234" s="8" t="s">
        <v>28</v>
      </c>
      <c r="O234" s="8" t="s">
        <v>33</v>
      </c>
      <c r="P234" s="8" t="s">
        <v>29</v>
      </c>
      <c r="Q234" s="3">
        <f t="shared" si="4"/>
        <v>0.20009683365611217</v>
      </c>
      <c r="R234" s="8" t="str" cm="1">
        <f t="array" ref="R234">_xlfn.IFS(Q234&gt;40%,"Alta",Q234&gt;20%,"Média",Q234&lt;20%,"Baixa")</f>
        <v>Média</v>
      </c>
    </row>
    <row r="235" spans="1:18" x14ac:dyDescent="0.25">
      <c r="A235" s="5">
        <v>286</v>
      </c>
      <c r="B235" s="6">
        <v>45797</v>
      </c>
      <c r="C235" s="8" t="s">
        <v>16</v>
      </c>
      <c r="D235" s="8" t="s">
        <v>35</v>
      </c>
      <c r="E235" s="8" t="s">
        <v>25</v>
      </c>
      <c r="F235" s="5">
        <v>1568</v>
      </c>
      <c r="G235" s="8" t="s">
        <v>26</v>
      </c>
      <c r="H235" s="8" t="s">
        <v>20</v>
      </c>
      <c r="I235" s="5">
        <v>13</v>
      </c>
      <c r="J235" s="10">
        <v>3287</v>
      </c>
      <c r="K235" s="10">
        <v>42731</v>
      </c>
      <c r="L235" s="10">
        <v>19667.650000000001</v>
      </c>
      <c r="M235" s="10">
        <v>23063.35</v>
      </c>
      <c r="N235" s="8" t="s">
        <v>28</v>
      </c>
      <c r="O235" s="8" t="s">
        <v>33</v>
      </c>
      <c r="P235" s="8" t="s">
        <v>23</v>
      </c>
      <c r="Q235" s="3">
        <f t="shared" si="4"/>
        <v>0.539733448784255</v>
      </c>
      <c r="R235" s="8" t="str" cm="1">
        <f t="array" ref="R235">_xlfn.IFS(Q235&gt;40%,"Alta",Q235&gt;20%,"Média",Q235&lt;20%,"Baixa")</f>
        <v>Alta</v>
      </c>
    </row>
    <row r="236" spans="1:18" x14ac:dyDescent="0.25">
      <c r="A236" s="5">
        <v>121</v>
      </c>
      <c r="B236" s="6">
        <v>45759</v>
      </c>
      <c r="C236" s="8" t="s">
        <v>24</v>
      </c>
      <c r="D236" s="8" t="s">
        <v>17</v>
      </c>
      <c r="E236" s="8" t="s">
        <v>18</v>
      </c>
      <c r="F236" s="5">
        <v>4673</v>
      </c>
      <c r="G236" s="8" t="s">
        <v>36</v>
      </c>
      <c r="H236" s="8" t="s">
        <v>38</v>
      </c>
      <c r="I236" s="5">
        <v>14</v>
      </c>
      <c r="J236" s="10">
        <v>3051</v>
      </c>
      <c r="K236" s="10">
        <v>42714</v>
      </c>
      <c r="L236" s="10">
        <v>25454.43</v>
      </c>
      <c r="M236" s="10">
        <v>17259.57</v>
      </c>
      <c r="N236" s="8" t="s">
        <v>32</v>
      </c>
      <c r="O236" s="8" t="s">
        <v>39</v>
      </c>
      <c r="P236" s="8" t="s">
        <v>23</v>
      </c>
      <c r="Q236" s="3">
        <f t="shared" si="4"/>
        <v>0.40407290349768227</v>
      </c>
      <c r="R236" s="8" t="str" cm="1">
        <f t="array" ref="R236">_xlfn.IFS(Q236&gt;40%,"Alta",Q236&gt;20%,"Média",Q236&lt;20%,"Baixa")</f>
        <v>Alta</v>
      </c>
    </row>
    <row r="237" spans="1:18" x14ac:dyDescent="0.25">
      <c r="A237" s="5">
        <v>912</v>
      </c>
      <c r="B237" s="6">
        <v>45713</v>
      </c>
      <c r="C237" s="8" t="s">
        <v>16</v>
      </c>
      <c r="D237" s="8" t="s">
        <v>17</v>
      </c>
      <c r="E237" s="8" t="s">
        <v>25</v>
      </c>
      <c r="F237" s="5">
        <v>9005</v>
      </c>
      <c r="G237" s="8" t="s">
        <v>19</v>
      </c>
      <c r="H237" s="8" t="s">
        <v>38</v>
      </c>
      <c r="I237" s="5">
        <v>14</v>
      </c>
      <c r="J237" s="10">
        <v>3046</v>
      </c>
      <c r="K237" s="10">
        <v>42644</v>
      </c>
      <c r="L237" s="10">
        <v>31418.99</v>
      </c>
      <c r="M237" s="10">
        <v>11225.01</v>
      </c>
      <c r="N237" s="8" t="s">
        <v>32</v>
      </c>
      <c r="O237" s="8" t="s">
        <v>22</v>
      </c>
      <c r="P237" s="8" t="s">
        <v>23</v>
      </c>
      <c r="Q237" s="3">
        <f t="shared" si="4"/>
        <v>0.26322601069318075</v>
      </c>
      <c r="R237" s="8" t="str" cm="1">
        <f t="array" ref="R237">_xlfn.IFS(Q237&gt;40%,"Alta",Q237&gt;20%,"Média",Q237&lt;20%,"Baixa")</f>
        <v>Média</v>
      </c>
    </row>
    <row r="238" spans="1:18" x14ac:dyDescent="0.25">
      <c r="A238" s="5">
        <v>652</v>
      </c>
      <c r="B238" s="6">
        <v>45707</v>
      </c>
      <c r="C238" s="8" t="s">
        <v>34</v>
      </c>
      <c r="D238" s="8" t="s">
        <v>17</v>
      </c>
      <c r="E238" s="8" t="s">
        <v>37</v>
      </c>
      <c r="F238" s="5">
        <v>5021</v>
      </c>
      <c r="G238" s="8" t="s">
        <v>36</v>
      </c>
      <c r="H238" s="8" t="s">
        <v>38</v>
      </c>
      <c r="I238" s="5">
        <v>16</v>
      </c>
      <c r="J238" s="10">
        <v>2662</v>
      </c>
      <c r="K238" s="10">
        <v>42592</v>
      </c>
      <c r="L238" s="10">
        <v>33783.32</v>
      </c>
      <c r="M238" s="10">
        <v>8808.68</v>
      </c>
      <c r="N238" s="8" t="s">
        <v>28</v>
      </c>
      <c r="O238" s="8" t="s">
        <v>22</v>
      </c>
      <c r="P238" s="8" t="s">
        <v>29</v>
      </c>
      <c r="Q238" s="3">
        <f t="shared" si="4"/>
        <v>0.20681536438767845</v>
      </c>
      <c r="R238" s="8" t="str" cm="1">
        <f t="array" ref="R238">_xlfn.IFS(Q238&gt;40%,"Alta",Q238&gt;20%,"Média",Q238&lt;20%,"Baixa")</f>
        <v>Média</v>
      </c>
    </row>
    <row r="239" spans="1:18" x14ac:dyDescent="0.25">
      <c r="A239" s="5">
        <v>863</v>
      </c>
      <c r="B239" s="6">
        <v>45732</v>
      </c>
      <c r="C239" s="8" t="s">
        <v>24</v>
      </c>
      <c r="D239" s="8" t="s">
        <v>42</v>
      </c>
      <c r="E239" s="8" t="s">
        <v>37</v>
      </c>
      <c r="F239" s="5">
        <v>6294</v>
      </c>
      <c r="G239" s="8" t="s">
        <v>36</v>
      </c>
      <c r="H239" s="8" t="s">
        <v>43</v>
      </c>
      <c r="I239" s="5">
        <v>18</v>
      </c>
      <c r="J239" s="10">
        <v>2363</v>
      </c>
      <c r="K239" s="10">
        <v>42534</v>
      </c>
      <c r="L239" s="10">
        <v>25675.37</v>
      </c>
      <c r="M239" s="10">
        <v>16858.63</v>
      </c>
      <c r="N239" s="8" t="s">
        <v>21</v>
      </c>
      <c r="O239" s="8" t="s">
        <v>33</v>
      </c>
      <c r="P239" s="8" t="s">
        <v>40</v>
      </c>
      <c r="Q239" s="3">
        <f t="shared" si="4"/>
        <v>0.39635656180937606</v>
      </c>
      <c r="R239" s="8" t="str" cm="1">
        <f t="array" ref="R239">_xlfn.IFS(Q239&gt;40%,"Alta",Q239&gt;20%,"Média",Q239&lt;20%,"Baixa")</f>
        <v>Média</v>
      </c>
    </row>
    <row r="240" spans="1:18" x14ac:dyDescent="0.25">
      <c r="A240" s="5">
        <v>873</v>
      </c>
      <c r="B240" s="6">
        <v>45663</v>
      </c>
      <c r="C240" s="8" t="s">
        <v>34</v>
      </c>
      <c r="D240" s="8" t="s">
        <v>30</v>
      </c>
      <c r="E240" s="8" t="s">
        <v>18</v>
      </c>
      <c r="F240" s="5">
        <v>2907</v>
      </c>
      <c r="G240" s="8" t="s">
        <v>26</v>
      </c>
      <c r="H240" s="8" t="s">
        <v>43</v>
      </c>
      <c r="I240" s="5">
        <v>9</v>
      </c>
      <c r="J240" s="10">
        <v>4726</v>
      </c>
      <c r="K240" s="10">
        <v>42534</v>
      </c>
      <c r="L240" s="10">
        <v>26499.360000000001</v>
      </c>
      <c r="M240" s="10">
        <v>16034.64</v>
      </c>
      <c r="N240" s="8" t="s">
        <v>21</v>
      </c>
      <c r="O240" s="8" t="s">
        <v>22</v>
      </c>
      <c r="P240" s="8" t="s">
        <v>23</v>
      </c>
      <c r="Q240" s="3">
        <f t="shared" si="4"/>
        <v>0.37698405981097471</v>
      </c>
      <c r="R240" s="8" t="str" cm="1">
        <f t="array" ref="R240">_xlfn.IFS(Q240&gt;40%,"Alta",Q240&gt;20%,"Média",Q240&lt;20%,"Baixa")</f>
        <v>Média</v>
      </c>
    </row>
    <row r="241" spans="1:18" x14ac:dyDescent="0.25">
      <c r="A241" s="5">
        <v>361</v>
      </c>
      <c r="B241" s="6">
        <v>45836</v>
      </c>
      <c r="C241" s="8" t="s">
        <v>16</v>
      </c>
      <c r="D241" s="8" t="s">
        <v>30</v>
      </c>
      <c r="E241" s="8" t="s">
        <v>37</v>
      </c>
      <c r="F241" s="5">
        <v>4954</v>
      </c>
      <c r="G241" s="8" t="s">
        <v>19</v>
      </c>
      <c r="H241" s="8" t="s">
        <v>27</v>
      </c>
      <c r="I241" s="5">
        <v>15</v>
      </c>
      <c r="J241" s="10">
        <v>2833</v>
      </c>
      <c r="K241" s="10">
        <v>42495</v>
      </c>
      <c r="L241" s="10">
        <v>27945.68</v>
      </c>
      <c r="M241" s="10">
        <v>14549.32</v>
      </c>
      <c r="N241" s="8" t="s">
        <v>21</v>
      </c>
      <c r="O241" s="8" t="s">
        <v>39</v>
      </c>
      <c r="P241" s="8" t="s">
        <v>40</v>
      </c>
      <c r="Q241" s="3">
        <f t="shared" si="4"/>
        <v>0.34237722084951172</v>
      </c>
      <c r="R241" s="8" t="str" cm="1">
        <f t="array" ref="R241">_xlfn.IFS(Q241&gt;40%,"Alta",Q241&gt;20%,"Média",Q241&lt;20%,"Baixa")</f>
        <v>Média</v>
      </c>
    </row>
    <row r="242" spans="1:18" x14ac:dyDescent="0.25">
      <c r="A242" s="5">
        <v>948</v>
      </c>
      <c r="B242" s="6">
        <v>45776</v>
      </c>
      <c r="C242" s="8" t="s">
        <v>47</v>
      </c>
      <c r="D242" s="8" t="s">
        <v>45</v>
      </c>
      <c r="E242" s="8" t="s">
        <v>25</v>
      </c>
      <c r="F242" s="5">
        <v>8040</v>
      </c>
      <c r="G242" s="8" t="s">
        <v>36</v>
      </c>
      <c r="H242" s="8" t="s">
        <v>27</v>
      </c>
      <c r="I242" s="5">
        <v>15</v>
      </c>
      <c r="J242" s="10">
        <v>2831</v>
      </c>
      <c r="K242" s="10">
        <v>42465</v>
      </c>
      <c r="L242" s="10">
        <v>26247.01</v>
      </c>
      <c r="M242" s="10">
        <v>16217.99</v>
      </c>
      <c r="N242" s="8" t="s">
        <v>21</v>
      </c>
      <c r="O242" s="8" t="s">
        <v>33</v>
      </c>
      <c r="P242" s="8" t="s">
        <v>44</v>
      </c>
      <c r="Q242" s="3">
        <f t="shared" si="4"/>
        <v>0.38191428235017072</v>
      </c>
      <c r="R242" s="8" t="str" cm="1">
        <f t="array" ref="R242">_xlfn.IFS(Q242&gt;40%,"Alta",Q242&gt;20%,"Média",Q242&lt;20%,"Baixa")</f>
        <v>Média</v>
      </c>
    </row>
    <row r="243" spans="1:18" x14ac:dyDescent="0.25">
      <c r="A243" s="5">
        <v>310</v>
      </c>
      <c r="B243" s="6">
        <v>45789</v>
      </c>
      <c r="C243" s="8" t="s">
        <v>47</v>
      </c>
      <c r="D243" s="8" t="s">
        <v>30</v>
      </c>
      <c r="E243" s="8" t="s">
        <v>25</v>
      </c>
      <c r="F243" s="5">
        <v>6903</v>
      </c>
      <c r="G243" s="8" t="s">
        <v>36</v>
      </c>
      <c r="H243" s="8" t="s">
        <v>38</v>
      </c>
      <c r="I243" s="5">
        <v>16</v>
      </c>
      <c r="J243" s="10">
        <v>2650</v>
      </c>
      <c r="K243" s="10">
        <v>42400</v>
      </c>
      <c r="L243" s="10">
        <v>25720.83</v>
      </c>
      <c r="M243" s="10">
        <v>16679.169999999998</v>
      </c>
      <c r="N243" s="8" t="s">
        <v>21</v>
      </c>
      <c r="O243" s="8" t="s">
        <v>39</v>
      </c>
      <c r="P243" s="8" t="s">
        <v>29</v>
      </c>
      <c r="Q243" s="3">
        <f t="shared" si="4"/>
        <v>0.39337665094339619</v>
      </c>
      <c r="R243" s="8" t="str" cm="1">
        <f t="array" ref="R243">_xlfn.IFS(Q243&gt;40%,"Alta",Q243&gt;20%,"Média",Q243&lt;20%,"Baixa")</f>
        <v>Média</v>
      </c>
    </row>
    <row r="244" spans="1:18" x14ac:dyDescent="0.25">
      <c r="A244" s="5">
        <v>21</v>
      </c>
      <c r="B244" s="6">
        <v>45726</v>
      </c>
      <c r="C244" s="8" t="s">
        <v>16</v>
      </c>
      <c r="D244" s="8" t="s">
        <v>17</v>
      </c>
      <c r="E244" s="8" t="s">
        <v>18</v>
      </c>
      <c r="F244" s="5">
        <v>9262</v>
      </c>
      <c r="G244" s="8" t="s">
        <v>19</v>
      </c>
      <c r="H244" s="8" t="s">
        <v>20</v>
      </c>
      <c r="I244" s="5">
        <v>14</v>
      </c>
      <c r="J244" s="10">
        <v>3007</v>
      </c>
      <c r="K244" s="10">
        <v>42098</v>
      </c>
      <c r="L244" s="10">
        <v>19719.490000000002</v>
      </c>
      <c r="M244" s="10">
        <v>22378.51</v>
      </c>
      <c r="N244" s="8" t="s">
        <v>32</v>
      </c>
      <c r="O244" s="8" t="s">
        <v>39</v>
      </c>
      <c r="P244" s="8" t="s">
        <v>46</v>
      </c>
      <c r="Q244" s="3">
        <f t="shared" si="4"/>
        <v>0.53158131027602262</v>
      </c>
      <c r="R244" s="8" t="str" cm="1">
        <f t="array" ref="R244">_xlfn.IFS(Q244&gt;40%,"Alta",Q244&gt;20%,"Média",Q244&lt;20%,"Baixa")</f>
        <v>Alta</v>
      </c>
    </row>
    <row r="245" spans="1:18" x14ac:dyDescent="0.25">
      <c r="A245" s="5">
        <v>816</v>
      </c>
      <c r="B245" s="6">
        <v>45669</v>
      </c>
      <c r="C245" s="8" t="s">
        <v>47</v>
      </c>
      <c r="D245" s="8" t="s">
        <v>45</v>
      </c>
      <c r="E245" s="8" t="s">
        <v>41</v>
      </c>
      <c r="F245" s="5">
        <v>8788</v>
      </c>
      <c r="G245" s="8" t="s">
        <v>26</v>
      </c>
      <c r="H245" s="8" t="s">
        <v>20</v>
      </c>
      <c r="I245" s="5">
        <v>10</v>
      </c>
      <c r="J245" s="10">
        <v>4191</v>
      </c>
      <c r="K245" s="10">
        <v>41910</v>
      </c>
      <c r="L245" s="10">
        <v>19468.02</v>
      </c>
      <c r="M245" s="10">
        <v>22441.98</v>
      </c>
      <c r="N245" s="8" t="s">
        <v>32</v>
      </c>
      <c r="O245" s="8" t="s">
        <v>33</v>
      </c>
      <c r="P245" s="8" t="s">
        <v>44</v>
      </c>
      <c r="Q245" s="3">
        <f t="shared" si="4"/>
        <v>0.53548031496062987</v>
      </c>
      <c r="R245" s="8" t="str" cm="1">
        <f t="array" ref="R245">_xlfn.IFS(Q245&gt;40%,"Alta",Q245&gt;20%,"Média",Q245&lt;20%,"Baixa")</f>
        <v>Alta</v>
      </c>
    </row>
    <row r="246" spans="1:18" x14ac:dyDescent="0.25">
      <c r="A246" s="5">
        <v>974</v>
      </c>
      <c r="B246" s="6">
        <v>45824</v>
      </c>
      <c r="C246" s="8" t="s">
        <v>34</v>
      </c>
      <c r="D246" s="8" t="s">
        <v>17</v>
      </c>
      <c r="E246" s="8" t="s">
        <v>25</v>
      </c>
      <c r="F246" s="5">
        <v>2571</v>
      </c>
      <c r="G246" s="8" t="s">
        <v>19</v>
      </c>
      <c r="H246" s="8" t="s">
        <v>31</v>
      </c>
      <c r="I246" s="5">
        <v>11</v>
      </c>
      <c r="J246" s="10">
        <v>3804</v>
      </c>
      <c r="K246" s="10">
        <v>41844</v>
      </c>
      <c r="L246" s="10">
        <v>31694.02</v>
      </c>
      <c r="M246" s="10">
        <v>10149.98</v>
      </c>
      <c r="N246" s="8" t="s">
        <v>21</v>
      </c>
      <c r="O246" s="8" t="s">
        <v>39</v>
      </c>
      <c r="P246" s="8" t="s">
        <v>44</v>
      </c>
      <c r="Q246" s="3">
        <f t="shared" si="4"/>
        <v>0.24256715419175987</v>
      </c>
      <c r="R246" s="8" t="str" cm="1">
        <f t="array" ref="R246">_xlfn.IFS(Q246&gt;40%,"Alta",Q246&gt;20%,"Média",Q246&lt;20%,"Baixa")</f>
        <v>Média</v>
      </c>
    </row>
    <row r="247" spans="1:18" x14ac:dyDescent="0.25">
      <c r="A247" s="5">
        <v>712</v>
      </c>
      <c r="B247" s="6">
        <v>45775</v>
      </c>
      <c r="C247" s="8" t="s">
        <v>24</v>
      </c>
      <c r="D247" s="8" t="s">
        <v>35</v>
      </c>
      <c r="E247" s="8" t="s">
        <v>37</v>
      </c>
      <c r="F247" s="5">
        <v>4781</v>
      </c>
      <c r="G247" s="8" t="s">
        <v>19</v>
      </c>
      <c r="H247" s="8" t="s">
        <v>43</v>
      </c>
      <c r="I247" s="5">
        <v>19</v>
      </c>
      <c r="J247" s="10">
        <v>2201</v>
      </c>
      <c r="K247" s="10">
        <v>41819</v>
      </c>
      <c r="L247" s="10">
        <v>30111.62</v>
      </c>
      <c r="M247" s="10">
        <v>11707.38</v>
      </c>
      <c r="N247" s="8" t="s">
        <v>32</v>
      </c>
      <c r="O247" s="8" t="s">
        <v>39</v>
      </c>
      <c r="P247" s="8" t="s">
        <v>23</v>
      </c>
      <c r="Q247" s="3">
        <f t="shared" si="4"/>
        <v>0.27995360960329035</v>
      </c>
      <c r="R247" s="8" t="str" cm="1">
        <f t="array" ref="R247">_xlfn.IFS(Q247&gt;40%,"Alta",Q247&gt;20%,"Média",Q247&lt;20%,"Baixa")</f>
        <v>Média</v>
      </c>
    </row>
    <row r="248" spans="1:18" x14ac:dyDescent="0.25">
      <c r="A248" s="5">
        <v>261</v>
      </c>
      <c r="B248" s="6">
        <v>45818</v>
      </c>
      <c r="C248" s="8" t="s">
        <v>16</v>
      </c>
      <c r="D248" s="8" t="s">
        <v>35</v>
      </c>
      <c r="E248" s="8" t="s">
        <v>25</v>
      </c>
      <c r="F248" s="5">
        <v>9641</v>
      </c>
      <c r="G248" s="8" t="s">
        <v>19</v>
      </c>
      <c r="H248" s="8" t="s">
        <v>20</v>
      </c>
      <c r="I248" s="5">
        <v>9</v>
      </c>
      <c r="J248" s="10">
        <v>4643</v>
      </c>
      <c r="K248" s="10">
        <v>41787</v>
      </c>
      <c r="L248" s="10">
        <v>25067.89</v>
      </c>
      <c r="M248" s="10">
        <v>16719.11</v>
      </c>
      <c r="N248" s="8" t="s">
        <v>28</v>
      </c>
      <c r="O248" s="8" t="s">
        <v>39</v>
      </c>
      <c r="P248" s="8" t="s">
        <v>40</v>
      </c>
      <c r="Q248" s="3">
        <f t="shared" si="4"/>
        <v>0.40010314212554143</v>
      </c>
      <c r="R248" s="8" t="str" cm="1">
        <f t="array" ref="R248">_xlfn.IFS(Q248&gt;40%,"Alta",Q248&gt;20%,"Média",Q248&lt;20%,"Baixa")</f>
        <v>Alta</v>
      </c>
    </row>
    <row r="249" spans="1:18" x14ac:dyDescent="0.25">
      <c r="A249" s="5">
        <v>156</v>
      </c>
      <c r="B249" s="6">
        <v>45766</v>
      </c>
      <c r="C249" s="8" t="s">
        <v>16</v>
      </c>
      <c r="D249" s="8" t="s">
        <v>42</v>
      </c>
      <c r="E249" s="8" t="s">
        <v>25</v>
      </c>
      <c r="F249" s="5">
        <v>5250</v>
      </c>
      <c r="G249" s="8" t="s">
        <v>36</v>
      </c>
      <c r="H249" s="8" t="s">
        <v>27</v>
      </c>
      <c r="I249" s="5">
        <v>9</v>
      </c>
      <c r="J249" s="10">
        <v>4642</v>
      </c>
      <c r="K249" s="10">
        <v>41778</v>
      </c>
      <c r="L249" s="10">
        <v>27248.37</v>
      </c>
      <c r="M249" s="10">
        <v>14529.63</v>
      </c>
      <c r="N249" s="8" t="s">
        <v>32</v>
      </c>
      <c r="O249" s="8" t="s">
        <v>22</v>
      </c>
      <c r="P249" s="8" t="s">
        <v>46</v>
      </c>
      <c r="Q249" s="3">
        <f t="shared" si="4"/>
        <v>0.34778184690506964</v>
      </c>
      <c r="R249" s="8" t="str" cm="1">
        <f t="array" ref="R249">_xlfn.IFS(Q249&gt;40%,"Alta",Q249&gt;20%,"Média",Q249&lt;20%,"Baixa")</f>
        <v>Média</v>
      </c>
    </row>
    <row r="250" spans="1:18" x14ac:dyDescent="0.25">
      <c r="A250" s="5">
        <v>8</v>
      </c>
      <c r="B250" s="6">
        <v>45711</v>
      </c>
      <c r="C250" s="8" t="s">
        <v>24</v>
      </c>
      <c r="D250" s="8" t="s">
        <v>17</v>
      </c>
      <c r="E250" s="8" t="s">
        <v>37</v>
      </c>
      <c r="F250" s="5">
        <v>6487</v>
      </c>
      <c r="G250" s="8" t="s">
        <v>36</v>
      </c>
      <c r="H250" s="8" t="s">
        <v>43</v>
      </c>
      <c r="I250" s="5">
        <v>13</v>
      </c>
      <c r="J250" s="10">
        <v>3201</v>
      </c>
      <c r="K250" s="10">
        <v>41613</v>
      </c>
      <c r="L250" s="10">
        <v>17858.849999999999</v>
      </c>
      <c r="M250" s="10">
        <v>23754.15</v>
      </c>
      <c r="N250" s="8" t="s">
        <v>21</v>
      </c>
      <c r="O250" s="8" t="s">
        <v>22</v>
      </c>
      <c r="P250" s="8" t="s">
        <v>44</v>
      </c>
      <c r="Q250" s="3">
        <f t="shared" si="4"/>
        <v>0.57083483526782497</v>
      </c>
      <c r="R250" s="8" t="str" cm="1">
        <f t="array" ref="R250">_xlfn.IFS(Q250&gt;40%,"Alta",Q250&gt;20%,"Média",Q250&lt;20%,"Baixa")</f>
        <v>Alta</v>
      </c>
    </row>
    <row r="251" spans="1:18" x14ac:dyDescent="0.25">
      <c r="A251" s="5">
        <v>924</v>
      </c>
      <c r="B251" s="6">
        <v>45827</v>
      </c>
      <c r="C251" s="8" t="s">
        <v>47</v>
      </c>
      <c r="D251" s="8" t="s">
        <v>17</v>
      </c>
      <c r="E251" s="8" t="s">
        <v>25</v>
      </c>
      <c r="F251" s="5">
        <v>9296</v>
      </c>
      <c r="G251" s="8" t="s">
        <v>19</v>
      </c>
      <c r="H251" s="8" t="s">
        <v>43</v>
      </c>
      <c r="I251" s="5">
        <v>17</v>
      </c>
      <c r="J251" s="10">
        <v>2435</v>
      </c>
      <c r="K251" s="10">
        <v>41395</v>
      </c>
      <c r="L251" s="10">
        <v>17623.77</v>
      </c>
      <c r="M251" s="10">
        <v>23771.23</v>
      </c>
      <c r="N251" s="8" t="s">
        <v>28</v>
      </c>
      <c r="O251" s="8" t="s">
        <v>22</v>
      </c>
      <c r="P251" s="8" t="s">
        <v>40</v>
      </c>
      <c r="Q251" s="3">
        <f t="shared" si="4"/>
        <v>0.57425365382292548</v>
      </c>
      <c r="R251" s="8" t="str" cm="1">
        <f t="array" ref="R251">_xlfn.IFS(Q251&gt;40%,"Alta",Q251&gt;20%,"Média",Q251&lt;20%,"Baixa")</f>
        <v>Alta</v>
      </c>
    </row>
    <row r="252" spans="1:18" x14ac:dyDescent="0.25">
      <c r="A252" s="5">
        <v>262</v>
      </c>
      <c r="B252" s="6">
        <v>45683</v>
      </c>
      <c r="C252" s="8" t="s">
        <v>47</v>
      </c>
      <c r="D252" s="8" t="s">
        <v>45</v>
      </c>
      <c r="E252" s="8" t="s">
        <v>25</v>
      </c>
      <c r="F252" s="5">
        <v>5128</v>
      </c>
      <c r="G252" s="8" t="s">
        <v>36</v>
      </c>
      <c r="H252" s="8" t="s">
        <v>20</v>
      </c>
      <c r="I252" s="5">
        <v>19</v>
      </c>
      <c r="J252" s="10">
        <v>2176</v>
      </c>
      <c r="K252" s="10">
        <v>41344</v>
      </c>
      <c r="L252" s="10">
        <v>17155.37</v>
      </c>
      <c r="M252" s="10">
        <v>24188.63</v>
      </c>
      <c r="N252" s="8" t="s">
        <v>32</v>
      </c>
      <c r="O252" s="8" t="s">
        <v>33</v>
      </c>
      <c r="P252" s="8" t="s">
        <v>29</v>
      </c>
      <c r="Q252" s="3">
        <f t="shared" si="4"/>
        <v>0.58505780766253868</v>
      </c>
      <c r="R252" s="8" t="str" cm="1">
        <f t="array" ref="R252">_xlfn.IFS(Q252&gt;40%,"Alta",Q252&gt;20%,"Média",Q252&lt;20%,"Baixa")</f>
        <v>Alta</v>
      </c>
    </row>
    <row r="253" spans="1:18" x14ac:dyDescent="0.25">
      <c r="A253" s="5">
        <v>219</v>
      </c>
      <c r="B253" s="6">
        <v>45730</v>
      </c>
      <c r="C253" s="8" t="s">
        <v>16</v>
      </c>
      <c r="D253" s="8" t="s">
        <v>17</v>
      </c>
      <c r="E253" s="8" t="s">
        <v>25</v>
      </c>
      <c r="F253" s="5">
        <v>1523</v>
      </c>
      <c r="G253" s="8" t="s">
        <v>19</v>
      </c>
      <c r="H253" s="8" t="s">
        <v>38</v>
      </c>
      <c r="I253" s="5">
        <v>19</v>
      </c>
      <c r="J253" s="10">
        <v>2164</v>
      </c>
      <c r="K253" s="10">
        <v>41116</v>
      </c>
      <c r="L253" s="10">
        <v>18742.189999999999</v>
      </c>
      <c r="M253" s="10">
        <v>22373.81</v>
      </c>
      <c r="N253" s="8" t="s">
        <v>28</v>
      </c>
      <c r="O253" s="8" t="s">
        <v>22</v>
      </c>
      <c r="P253" s="8" t="s">
        <v>44</v>
      </c>
      <c r="Q253" s="3">
        <f t="shared" si="4"/>
        <v>0.5441630995233</v>
      </c>
      <c r="R253" s="8" t="str" cm="1">
        <f t="array" ref="R253">_xlfn.IFS(Q253&gt;40%,"Alta",Q253&gt;20%,"Média",Q253&lt;20%,"Baixa")</f>
        <v>Alta</v>
      </c>
    </row>
    <row r="254" spans="1:18" x14ac:dyDescent="0.25">
      <c r="A254" s="5">
        <v>661</v>
      </c>
      <c r="B254" s="6">
        <v>45712</v>
      </c>
      <c r="C254" s="8" t="s">
        <v>34</v>
      </c>
      <c r="D254" s="8" t="s">
        <v>30</v>
      </c>
      <c r="E254" s="8" t="s">
        <v>18</v>
      </c>
      <c r="F254" s="5">
        <v>3188</v>
      </c>
      <c r="G254" s="8" t="s">
        <v>26</v>
      </c>
      <c r="H254" s="8" t="s">
        <v>27</v>
      </c>
      <c r="I254" s="5">
        <v>11</v>
      </c>
      <c r="J254" s="10">
        <v>3729</v>
      </c>
      <c r="K254" s="10">
        <v>41019</v>
      </c>
      <c r="L254" s="10">
        <v>17166.39</v>
      </c>
      <c r="M254" s="10">
        <v>23852.61</v>
      </c>
      <c r="N254" s="8" t="s">
        <v>21</v>
      </c>
      <c r="O254" s="8" t="s">
        <v>22</v>
      </c>
      <c r="P254" s="8" t="s">
        <v>40</v>
      </c>
      <c r="Q254" s="3">
        <f t="shared" si="4"/>
        <v>0.58150149930520001</v>
      </c>
      <c r="R254" s="8" t="str" cm="1">
        <f t="array" ref="R254">_xlfn.IFS(Q254&gt;40%,"Alta",Q254&gt;20%,"Média",Q254&lt;20%,"Baixa")</f>
        <v>Alta</v>
      </c>
    </row>
    <row r="255" spans="1:18" x14ac:dyDescent="0.25">
      <c r="A255" s="5">
        <v>634</v>
      </c>
      <c r="B255" s="6">
        <v>45738</v>
      </c>
      <c r="C255" s="8" t="s">
        <v>24</v>
      </c>
      <c r="D255" s="8" t="s">
        <v>35</v>
      </c>
      <c r="E255" s="8" t="s">
        <v>41</v>
      </c>
      <c r="F255" s="5">
        <v>3032</v>
      </c>
      <c r="G255" s="8" t="s">
        <v>36</v>
      </c>
      <c r="H255" s="8" t="s">
        <v>27</v>
      </c>
      <c r="I255" s="5">
        <v>20</v>
      </c>
      <c r="J255" s="10">
        <v>2049</v>
      </c>
      <c r="K255" s="10">
        <v>40980</v>
      </c>
      <c r="L255" s="10">
        <v>17659.22</v>
      </c>
      <c r="M255" s="10">
        <v>23320.78</v>
      </c>
      <c r="N255" s="8" t="s">
        <v>32</v>
      </c>
      <c r="O255" s="8" t="s">
        <v>33</v>
      </c>
      <c r="P255" s="8" t="s">
        <v>29</v>
      </c>
      <c r="Q255" s="3">
        <f t="shared" si="4"/>
        <v>0.56907711078574907</v>
      </c>
      <c r="R255" s="8" t="str" cm="1">
        <f t="array" ref="R255">_xlfn.IFS(Q255&gt;40%,"Alta",Q255&gt;20%,"Média",Q255&lt;20%,"Baixa")</f>
        <v>Alta</v>
      </c>
    </row>
    <row r="256" spans="1:18" x14ac:dyDescent="0.25">
      <c r="A256" s="5">
        <v>787</v>
      </c>
      <c r="B256" s="6">
        <v>45696</v>
      </c>
      <c r="C256" s="8" t="s">
        <v>34</v>
      </c>
      <c r="D256" s="8" t="s">
        <v>17</v>
      </c>
      <c r="E256" s="8" t="s">
        <v>18</v>
      </c>
      <c r="F256" s="5">
        <v>5460</v>
      </c>
      <c r="G256" s="8" t="s">
        <v>36</v>
      </c>
      <c r="H256" s="8" t="s">
        <v>43</v>
      </c>
      <c r="I256" s="5">
        <v>11</v>
      </c>
      <c r="J256" s="10">
        <v>3704</v>
      </c>
      <c r="K256" s="10">
        <v>40744</v>
      </c>
      <c r="L256" s="10">
        <v>26924.48</v>
      </c>
      <c r="M256" s="10">
        <v>13819.52</v>
      </c>
      <c r="N256" s="8" t="s">
        <v>21</v>
      </c>
      <c r="O256" s="8" t="s">
        <v>22</v>
      </c>
      <c r="P256" s="8" t="s">
        <v>23</v>
      </c>
      <c r="Q256" s="3">
        <f t="shared" si="4"/>
        <v>0.33917926565874729</v>
      </c>
      <c r="R256" s="8" t="str" cm="1">
        <f t="array" ref="R256">_xlfn.IFS(Q256&gt;40%,"Alta",Q256&gt;20%,"Média",Q256&lt;20%,"Baixa")</f>
        <v>Média</v>
      </c>
    </row>
    <row r="257" spans="1:18" x14ac:dyDescent="0.25">
      <c r="A257" s="5">
        <v>841</v>
      </c>
      <c r="B257" s="6">
        <v>45736</v>
      </c>
      <c r="C257" s="8" t="s">
        <v>16</v>
      </c>
      <c r="D257" s="8" t="s">
        <v>17</v>
      </c>
      <c r="E257" s="8" t="s">
        <v>25</v>
      </c>
      <c r="F257" s="5">
        <v>4743</v>
      </c>
      <c r="G257" s="8" t="s">
        <v>26</v>
      </c>
      <c r="H257" s="8" t="s">
        <v>38</v>
      </c>
      <c r="I257" s="5">
        <v>11</v>
      </c>
      <c r="J257" s="10">
        <v>3674</v>
      </c>
      <c r="K257" s="10">
        <v>40414</v>
      </c>
      <c r="L257" s="10">
        <v>22507.11</v>
      </c>
      <c r="M257" s="10">
        <v>17906.89</v>
      </c>
      <c r="N257" s="8" t="s">
        <v>28</v>
      </c>
      <c r="O257" s="8" t="s">
        <v>39</v>
      </c>
      <c r="P257" s="8" t="s">
        <v>40</v>
      </c>
      <c r="Q257" s="3">
        <f t="shared" si="4"/>
        <v>0.44308630672539218</v>
      </c>
      <c r="R257" s="8" t="str" cm="1">
        <f t="array" ref="R257">_xlfn.IFS(Q257&gt;40%,"Alta",Q257&gt;20%,"Média",Q257&lt;20%,"Baixa")</f>
        <v>Alta</v>
      </c>
    </row>
    <row r="258" spans="1:18" x14ac:dyDescent="0.25">
      <c r="A258" s="5">
        <v>61</v>
      </c>
      <c r="B258" s="6">
        <v>45747</v>
      </c>
      <c r="C258" s="8" t="s">
        <v>16</v>
      </c>
      <c r="D258" s="8" t="s">
        <v>30</v>
      </c>
      <c r="E258" s="8" t="s">
        <v>25</v>
      </c>
      <c r="F258" s="5">
        <v>4150</v>
      </c>
      <c r="G258" s="8" t="s">
        <v>26</v>
      </c>
      <c r="H258" s="8" t="s">
        <v>27</v>
      </c>
      <c r="I258" s="5">
        <v>10</v>
      </c>
      <c r="J258" s="10">
        <v>4026</v>
      </c>
      <c r="K258" s="10">
        <v>40260</v>
      </c>
      <c r="L258" s="10">
        <v>26829.57</v>
      </c>
      <c r="M258" s="10">
        <v>13430.43</v>
      </c>
      <c r="N258" s="8" t="s">
        <v>21</v>
      </c>
      <c r="O258" s="8" t="s">
        <v>33</v>
      </c>
      <c r="P258" s="8" t="s">
        <v>23</v>
      </c>
      <c r="Q258" s="3">
        <f t="shared" ref="Q258:Q321" si="5">M258/K258</f>
        <v>0.33359239940387481</v>
      </c>
      <c r="R258" s="8" t="str" cm="1">
        <f t="array" ref="R258">_xlfn.IFS(Q258&gt;40%,"Alta",Q258&gt;20%,"Média",Q258&lt;20%,"Baixa")</f>
        <v>Média</v>
      </c>
    </row>
    <row r="259" spans="1:18" x14ac:dyDescent="0.25">
      <c r="A259" s="5">
        <v>526</v>
      </c>
      <c r="B259" s="6">
        <v>45730</v>
      </c>
      <c r="C259" s="8" t="s">
        <v>34</v>
      </c>
      <c r="D259" s="8" t="s">
        <v>45</v>
      </c>
      <c r="E259" s="8" t="s">
        <v>41</v>
      </c>
      <c r="F259" s="5">
        <v>2063</v>
      </c>
      <c r="G259" s="8" t="s">
        <v>36</v>
      </c>
      <c r="H259" s="8" t="s">
        <v>43</v>
      </c>
      <c r="I259" s="5">
        <v>10</v>
      </c>
      <c r="J259" s="10">
        <v>4020</v>
      </c>
      <c r="K259" s="10">
        <v>40200</v>
      </c>
      <c r="L259" s="10">
        <v>24980.04</v>
      </c>
      <c r="M259" s="10">
        <v>15219.96</v>
      </c>
      <c r="N259" s="8" t="s">
        <v>28</v>
      </c>
      <c r="O259" s="8" t="s">
        <v>39</v>
      </c>
      <c r="P259" s="8" t="s">
        <v>29</v>
      </c>
      <c r="Q259" s="3">
        <f t="shared" si="5"/>
        <v>0.37860597014925373</v>
      </c>
      <c r="R259" s="8" t="str" cm="1">
        <f t="array" ref="R259">_xlfn.IFS(Q259&gt;40%,"Alta",Q259&gt;20%,"Média",Q259&lt;20%,"Baixa")</f>
        <v>Média</v>
      </c>
    </row>
    <row r="260" spans="1:18" x14ac:dyDescent="0.25">
      <c r="A260" s="5">
        <v>959</v>
      </c>
      <c r="B260" s="6">
        <v>45789</v>
      </c>
      <c r="C260" s="8" t="s">
        <v>16</v>
      </c>
      <c r="D260" s="8" t="s">
        <v>42</v>
      </c>
      <c r="E260" s="8" t="s">
        <v>25</v>
      </c>
      <c r="F260" s="5">
        <v>9364</v>
      </c>
      <c r="G260" s="8" t="s">
        <v>36</v>
      </c>
      <c r="H260" s="8" t="s">
        <v>31</v>
      </c>
      <c r="I260" s="5">
        <v>17</v>
      </c>
      <c r="J260" s="10">
        <v>2362</v>
      </c>
      <c r="K260" s="10">
        <v>40154</v>
      </c>
      <c r="L260" s="10">
        <v>16845.18</v>
      </c>
      <c r="M260" s="10">
        <v>23308.82</v>
      </c>
      <c r="N260" s="8" t="s">
        <v>28</v>
      </c>
      <c r="O260" s="8" t="s">
        <v>22</v>
      </c>
      <c r="P260" s="8" t="s">
        <v>29</v>
      </c>
      <c r="Q260" s="3">
        <f t="shared" si="5"/>
        <v>0.58048563032325551</v>
      </c>
      <c r="R260" s="8" t="str" cm="1">
        <f t="array" ref="R260">_xlfn.IFS(Q260&gt;40%,"Alta",Q260&gt;20%,"Média",Q260&lt;20%,"Baixa")</f>
        <v>Alta</v>
      </c>
    </row>
    <row r="261" spans="1:18" x14ac:dyDescent="0.25">
      <c r="A261" s="5">
        <v>46</v>
      </c>
      <c r="B261" s="6">
        <v>45772</v>
      </c>
      <c r="C261" s="8" t="s">
        <v>16</v>
      </c>
      <c r="D261" s="8" t="s">
        <v>42</v>
      </c>
      <c r="E261" s="8" t="s">
        <v>18</v>
      </c>
      <c r="F261" s="5">
        <v>9651</v>
      </c>
      <c r="G261" s="8" t="s">
        <v>26</v>
      </c>
      <c r="H261" s="8" t="s">
        <v>27</v>
      </c>
      <c r="I261" s="5">
        <v>18</v>
      </c>
      <c r="J261" s="10">
        <v>2230</v>
      </c>
      <c r="K261" s="10">
        <v>40140</v>
      </c>
      <c r="L261" s="10">
        <v>22977.81</v>
      </c>
      <c r="M261" s="10">
        <v>17162.189999999999</v>
      </c>
      <c r="N261" s="8" t="s">
        <v>21</v>
      </c>
      <c r="O261" s="8" t="s">
        <v>33</v>
      </c>
      <c r="P261" s="8" t="s">
        <v>40</v>
      </c>
      <c r="Q261" s="3">
        <f t="shared" si="5"/>
        <v>0.42755829596412553</v>
      </c>
      <c r="R261" s="8" t="str" cm="1">
        <f t="array" ref="R261">_xlfn.IFS(Q261&gt;40%,"Alta",Q261&gt;20%,"Média",Q261&lt;20%,"Baixa")</f>
        <v>Alta</v>
      </c>
    </row>
    <row r="262" spans="1:18" x14ac:dyDescent="0.25">
      <c r="A262" s="5">
        <v>417</v>
      </c>
      <c r="B262" s="6">
        <v>45726</v>
      </c>
      <c r="C262" s="8" t="s">
        <v>16</v>
      </c>
      <c r="D262" s="8" t="s">
        <v>30</v>
      </c>
      <c r="E262" s="8" t="s">
        <v>25</v>
      </c>
      <c r="F262" s="5">
        <v>2932</v>
      </c>
      <c r="G262" s="8" t="s">
        <v>26</v>
      </c>
      <c r="H262" s="8" t="s">
        <v>27</v>
      </c>
      <c r="I262" s="5">
        <v>12</v>
      </c>
      <c r="J262" s="10">
        <v>3342</v>
      </c>
      <c r="K262" s="10">
        <v>40104</v>
      </c>
      <c r="L262" s="10">
        <v>27751.69</v>
      </c>
      <c r="M262" s="10">
        <v>12352.31</v>
      </c>
      <c r="N262" s="8" t="s">
        <v>28</v>
      </c>
      <c r="O262" s="8" t="s">
        <v>39</v>
      </c>
      <c r="P262" s="8" t="s">
        <v>44</v>
      </c>
      <c r="Q262" s="3">
        <f t="shared" si="5"/>
        <v>0.30800693197686013</v>
      </c>
      <c r="R262" s="8" t="str" cm="1">
        <f t="array" ref="R262">_xlfn.IFS(Q262&gt;40%,"Alta",Q262&gt;20%,"Média",Q262&lt;20%,"Baixa")</f>
        <v>Média</v>
      </c>
    </row>
    <row r="263" spans="1:18" x14ac:dyDescent="0.25">
      <c r="A263" s="5">
        <v>853</v>
      </c>
      <c r="B263" s="6">
        <v>45824</v>
      </c>
      <c r="C263" s="8" t="s">
        <v>47</v>
      </c>
      <c r="D263" s="8" t="s">
        <v>35</v>
      </c>
      <c r="E263" s="8" t="s">
        <v>37</v>
      </c>
      <c r="F263" s="5">
        <v>9981</v>
      </c>
      <c r="G263" s="8" t="s">
        <v>19</v>
      </c>
      <c r="H263" s="8" t="s">
        <v>20</v>
      </c>
      <c r="I263" s="5">
        <v>11</v>
      </c>
      <c r="J263" s="10">
        <v>3645</v>
      </c>
      <c r="K263" s="10">
        <v>40095</v>
      </c>
      <c r="L263" s="10">
        <v>17609.599999999999</v>
      </c>
      <c r="M263" s="10">
        <v>22485.4</v>
      </c>
      <c r="N263" s="8" t="s">
        <v>28</v>
      </c>
      <c r="O263" s="8" t="s">
        <v>39</v>
      </c>
      <c r="P263" s="8" t="s">
        <v>44</v>
      </c>
      <c r="Q263" s="3">
        <f t="shared" si="5"/>
        <v>0.56080309265494455</v>
      </c>
      <c r="R263" s="8" t="str" cm="1">
        <f t="array" ref="R263">_xlfn.IFS(Q263&gt;40%,"Alta",Q263&gt;20%,"Média",Q263&lt;20%,"Baixa")</f>
        <v>Alta</v>
      </c>
    </row>
    <row r="264" spans="1:18" x14ac:dyDescent="0.25">
      <c r="A264" s="5">
        <v>194</v>
      </c>
      <c r="B264" s="6">
        <v>45795</v>
      </c>
      <c r="C264" s="8" t="s">
        <v>47</v>
      </c>
      <c r="D264" s="8" t="s">
        <v>17</v>
      </c>
      <c r="E264" s="8" t="s">
        <v>18</v>
      </c>
      <c r="F264" s="5">
        <v>4245</v>
      </c>
      <c r="G264" s="8" t="s">
        <v>19</v>
      </c>
      <c r="H264" s="8" t="s">
        <v>20</v>
      </c>
      <c r="I264" s="5">
        <v>14</v>
      </c>
      <c r="J264" s="10">
        <v>2863</v>
      </c>
      <c r="K264" s="10">
        <v>40082</v>
      </c>
      <c r="L264" s="10">
        <v>28570.87</v>
      </c>
      <c r="M264" s="10">
        <v>11511.13</v>
      </c>
      <c r="N264" s="8" t="s">
        <v>32</v>
      </c>
      <c r="O264" s="8" t="s">
        <v>33</v>
      </c>
      <c r="P264" s="8" t="s">
        <v>23</v>
      </c>
      <c r="Q264" s="3">
        <f t="shared" si="5"/>
        <v>0.28718951150142208</v>
      </c>
      <c r="R264" s="8" t="str" cm="1">
        <f t="array" ref="R264">_xlfn.IFS(Q264&gt;40%,"Alta",Q264&gt;20%,"Média",Q264&lt;20%,"Baixa")</f>
        <v>Média</v>
      </c>
    </row>
    <row r="265" spans="1:18" x14ac:dyDescent="0.25">
      <c r="A265" s="5">
        <v>583</v>
      </c>
      <c r="B265" s="6">
        <v>45685</v>
      </c>
      <c r="C265" s="8" t="s">
        <v>47</v>
      </c>
      <c r="D265" s="8" t="s">
        <v>42</v>
      </c>
      <c r="E265" s="8" t="s">
        <v>25</v>
      </c>
      <c r="F265" s="5">
        <v>7540</v>
      </c>
      <c r="G265" s="8" t="s">
        <v>26</v>
      </c>
      <c r="H265" s="8" t="s">
        <v>20</v>
      </c>
      <c r="I265" s="5">
        <v>13</v>
      </c>
      <c r="J265" s="10">
        <v>3076</v>
      </c>
      <c r="K265" s="10">
        <v>39988</v>
      </c>
      <c r="L265" s="10">
        <v>24250.48</v>
      </c>
      <c r="M265" s="10">
        <v>15737.52</v>
      </c>
      <c r="N265" s="8" t="s">
        <v>28</v>
      </c>
      <c r="O265" s="8" t="s">
        <v>22</v>
      </c>
      <c r="P265" s="8" t="s">
        <v>40</v>
      </c>
      <c r="Q265" s="3">
        <f t="shared" si="5"/>
        <v>0.39355606682004601</v>
      </c>
      <c r="R265" s="8" t="str" cm="1">
        <f t="array" ref="R265">_xlfn.IFS(Q265&gt;40%,"Alta",Q265&gt;20%,"Média",Q265&lt;20%,"Baixa")</f>
        <v>Média</v>
      </c>
    </row>
    <row r="266" spans="1:18" x14ac:dyDescent="0.25">
      <c r="A266" s="5">
        <v>504</v>
      </c>
      <c r="B266" s="6">
        <v>45731</v>
      </c>
      <c r="C266" s="8" t="s">
        <v>34</v>
      </c>
      <c r="D266" s="8" t="s">
        <v>30</v>
      </c>
      <c r="E266" s="8" t="s">
        <v>18</v>
      </c>
      <c r="F266" s="5">
        <v>6035</v>
      </c>
      <c r="G266" s="8" t="s">
        <v>36</v>
      </c>
      <c r="H266" s="8" t="s">
        <v>38</v>
      </c>
      <c r="I266" s="5">
        <v>14</v>
      </c>
      <c r="J266" s="10">
        <v>2853</v>
      </c>
      <c r="K266" s="10">
        <v>39942</v>
      </c>
      <c r="L266" s="10">
        <v>25916.080000000002</v>
      </c>
      <c r="M266" s="10">
        <v>14025.92</v>
      </c>
      <c r="N266" s="8" t="s">
        <v>32</v>
      </c>
      <c r="O266" s="8" t="s">
        <v>39</v>
      </c>
      <c r="P266" s="8" t="s">
        <v>44</v>
      </c>
      <c r="Q266" s="3">
        <f t="shared" si="5"/>
        <v>0.35115717790796658</v>
      </c>
      <c r="R266" s="8" t="str" cm="1">
        <f t="array" ref="R266">_xlfn.IFS(Q266&gt;40%,"Alta",Q266&gt;20%,"Média",Q266&lt;20%,"Baixa")</f>
        <v>Média</v>
      </c>
    </row>
    <row r="267" spans="1:18" x14ac:dyDescent="0.25">
      <c r="A267" s="5">
        <v>371</v>
      </c>
      <c r="B267" s="6">
        <v>45664</v>
      </c>
      <c r="C267" s="8" t="s">
        <v>24</v>
      </c>
      <c r="D267" s="8" t="s">
        <v>17</v>
      </c>
      <c r="E267" s="8" t="s">
        <v>37</v>
      </c>
      <c r="F267" s="5">
        <v>3335</v>
      </c>
      <c r="G267" s="8" t="s">
        <v>36</v>
      </c>
      <c r="H267" s="8" t="s">
        <v>31</v>
      </c>
      <c r="I267" s="5">
        <v>8</v>
      </c>
      <c r="J267" s="10">
        <v>4983</v>
      </c>
      <c r="K267" s="10">
        <v>39864</v>
      </c>
      <c r="L267" s="10">
        <v>25642.71</v>
      </c>
      <c r="M267" s="10">
        <v>14221.29</v>
      </c>
      <c r="N267" s="8" t="s">
        <v>32</v>
      </c>
      <c r="O267" s="8" t="s">
        <v>22</v>
      </c>
      <c r="P267" s="8" t="s">
        <v>40</v>
      </c>
      <c r="Q267" s="3">
        <f t="shared" si="5"/>
        <v>0.35674518362432273</v>
      </c>
      <c r="R267" s="8" t="str" cm="1">
        <f t="array" ref="R267">_xlfn.IFS(Q267&gt;40%,"Alta",Q267&gt;20%,"Média",Q267&lt;20%,"Baixa")</f>
        <v>Média</v>
      </c>
    </row>
    <row r="268" spans="1:18" x14ac:dyDescent="0.25">
      <c r="A268" s="5">
        <v>128</v>
      </c>
      <c r="B268" s="6">
        <v>45824</v>
      </c>
      <c r="C268" s="8" t="s">
        <v>47</v>
      </c>
      <c r="D268" s="8" t="s">
        <v>30</v>
      </c>
      <c r="E268" s="8" t="s">
        <v>25</v>
      </c>
      <c r="F268" s="5">
        <v>5031</v>
      </c>
      <c r="G268" s="8" t="s">
        <v>26</v>
      </c>
      <c r="H268" s="8" t="s">
        <v>43</v>
      </c>
      <c r="I268" s="5">
        <v>9</v>
      </c>
      <c r="J268" s="10">
        <v>4429</v>
      </c>
      <c r="K268" s="10">
        <v>39861</v>
      </c>
      <c r="L268" s="10">
        <v>27349.72</v>
      </c>
      <c r="M268" s="10">
        <v>12511.28</v>
      </c>
      <c r="N268" s="8" t="s">
        <v>21</v>
      </c>
      <c r="O268" s="8" t="s">
        <v>39</v>
      </c>
      <c r="P268" s="8" t="s">
        <v>23</v>
      </c>
      <c r="Q268" s="3">
        <f t="shared" si="5"/>
        <v>0.31387270765911546</v>
      </c>
      <c r="R268" s="8" t="str" cm="1">
        <f t="array" ref="R268">_xlfn.IFS(Q268&gt;40%,"Alta",Q268&gt;20%,"Média",Q268&lt;20%,"Baixa")</f>
        <v>Média</v>
      </c>
    </row>
    <row r="269" spans="1:18" x14ac:dyDescent="0.25">
      <c r="A269" s="5">
        <v>555</v>
      </c>
      <c r="B269" s="6">
        <v>45783</v>
      </c>
      <c r="C269" s="8" t="s">
        <v>16</v>
      </c>
      <c r="D269" s="8" t="s">
        <v>17</v>
      </c>
      <c r="E269" s="8" t="s">
        <v>18</v>
      </c>
      <c r="F269" s="5">
        <v>6794</v>
      </c>
      <c r="G269" s="8" t="s">
        <v>36</v>
      </c>
      <c r="H269" s="8" t="s">
        <v>20</v>
      </c>
      <c r="I269" s="5">
        <v>16</v>
      </c>
      <c r="J269" s="10">
        <v>2490</v>
      </c>
      <c r="K269" s="10">
        <v>39840</v>
      </c>
      <c r="L269" s="10">
        <v>29862.83</v>
      </c>
      <c r="M269" s="10">
        <v>9977.17</v>
      </c>
      <c r="N269" s="8" t="s">
        <v>21</v>
      </c>
      <c r="O269" s="8" t="s">
        <v>33</v>
      </c>
      <c r="P269" s="8" t="s">
        <v>46</v>
      </c>
      <c r="Q269" s="3">
        <f t="shared" si="5"/>
        <v>0.25043097389558233</v>
      </c>
      <c r="R269" s="8" t="str" cm="1">
        <f t="array" ref="R269">_xlfn.IFS(Q269&gt;40%,"Alta",Q269&gt;20%,"Média",Q269&lt;20%,"Baixa")</f>
        <v>Média</v>
      </c>
    </row>
    <row r="270" spans="1:18" x14ac:dyDescent="0.25">
      <c r="A270" s="5">
        <v>907</v>
      </c>
      <c r="B270" s="6">
        <v>45726</v>
      </c>
      <c r="C270" s="8" t="s">
        <v>34</v>
      </c>
      <c r="D270" s="8" t="s">
        <v>30</v>
      </c>
      <c r="E270" s="8" t="s">
        <v>41</v>
      </c>
      <c r="F270" s="5">
        <v>1419</v>
      </c>
      <c r="G270" s="8" t="s">
        <v>26</v>
      </c>
      <c r="H270" s="8" t="s">
        <v>43</v>
      </c>
      <c r="I270" s="5">
        <v>18</v>
      </c>
      <c r="J270" s="10">
        <v>2211</v>
      </c>
      <c r="K270" s="10">
        <v>39798</v>
      </c>
      <c r="L270" s="10">
        <v>16394.77</v>
      </c>
      <c r="M270" s="10">
        <v>23403.23</v>
      </c>
      <c r="N270" s="8" t="s">
        <v>32</v>
      </c>
      <c r="O270" s="8" t="s">
        <v>22</v>
      </c>
      <c r="P270" s="8" t="s">
        <v>44</v>
      </c>
      <c r="Q270" s="3">
        <f t="shared" si="5"/>
        <v>0.58805040454294188</v>
      </c>
      <c r="R270" s="8" t="str" cm="1">
        <f t="array" ref="R270">_xlfn.IFS(Q270&gt;40%,"Alta",Q270&gt;20%,"Média",Q270&lt;20%,"Baixa")</f>
        <v>Alta</v>
      </c>
    </row>
    <row r="271" spans="1:18" x14ac:dyDescent="0.25">
      <c r="A271" s="5">
        <v>148</v>
      </c>
      <c r="B271" s="6">
        <v>45718</v>
      </c>
      <c r="C271" s="8" t="s">
        <v>47</v>
      </c>
      <c r="D271" s="8" t="s">
        <v>17</v>
      </c>
      <c r="E271" s="8" t="s">
        <v>25</v>
      </c>
      <c r="F271" s="5">
        <v>8107</v>
      </c>
      <c r="G271" s="8" t="s">
        <v>36</v>
      </c>
      <c r="H271" s="8" t="s">
        <v>43</v>
      </c>
      <c r="I271" s="5">
        <v>14</v>
      </c>
      <c r="J271" s="10">
        <v>2836</v>
      </c>
      <c r="K271" s="10">
        <v>39704</v>
      </c>
      <c r="L271" s="10">
        <v>25455.96</v>
      </c>
      <c r="M271" s="10">
        <v>14248.04</v>
      </c>
      <c r="N271" s="8" t="s">
        <v>32</v>
      </c>
      <c r="O271" s="8" t="s">
        <v>33</v>
      </c>
      <c r="P271" s="8" t="s">
        <v>29</v>
      </c>
      <c r="Q271" s="3">
        <f t="shared" si="5"/>
        <v>0.35885653838404191</v>
      </c>
      <c r="R271" s="8" t="str" cm="1">
        <f t="array" ref="R271">_xlfn.IFS(Q271&gt;40%,"Alta",Q271&gt;20%,"Média",Q271&lt;20%,"Baixa")</f>
        <v>Média</v>
      </c>
    </row>
    <row r="272" spans="1:18" x14ac:dyDescent="0.25">
      <c r="A272" s="5">
        <v>409</v>
      </c>
      <c r="B272" s="6">
        <v>45830</v>
      </c>
      <c r="C272" s="8" t="s">
        <v>16</v>
      </c>
      <c r="D272" s="8" t="s">
        <v>17</v>
      </c>
      <c r="E272" s="8" t="s">
        <v>41</v>
      </c>
      <c r="F272" s="5">
        <v>9081</v>
      </c>
      <c r="G272" s="8" t="s">
        <v>19</v>
      </c>
      <c r="H272" s="8" t="s">
        <v>43</v>
      </c>
      <c r="I272" s="5">
        <v>10</v>
      </c>
      <c r="J272" s="10">
        <v>3951</v>
      </c>
      <c r="K272" s="10">
        <v>39510</v>
      </c>
      <c r="L272" s="10">
        <v>30610.44</v>
      </c>
      <c r="M272" s="10">
        <v>8899.56</v>
      </c>
      <c r="N272" s="8" t="s">
        <v>28</v>
      </c>
      <c r="O272" s="8" t="s">
        <v>33</v>
      </c>
      <c r="P272" s="8" t="s">
        <v>29</v>
      </c>
      <c r="Q272" s="3">
        <f t="shared" si="5"/>
        <v>0.22524829157175397</v>
      </c>
      <c r="R272" s="8" t="str" cm="1">
        <f t="array" ref="R272">_xlfn.IFS(Q272&gt;40%,"Alta",Q272&gt;20%,"Média",Q272&lt;20%,"Baixa")</f>
        <v>Média</v>
      </c>
    </row>
    <row r="273" spans="1:18" x14ac:dyDescent="0.25">
      <c r="A273" s="5">
        <v>987</v>
      </c>
      <c r="B273" s="6">
        <v>45673</v>
      </c>
      <c r="C273" s="8" t="s">
        <v>34</v>
      </c>
      <c r="D273" s="8" t="s">
        <v>35</v>
      </c>
      <c r="E273" s="8" t="s">
        <v>25</v>
      </c>
      <c r="F273" s="5">
        <v>2615</v>
      </c>
      <c r="G273" s="8" t="s">
        <v>36</v>
      </c>
      <c r="H273" s="8" t="s">
        <v>20</v>
      </c>
      <c r="I273" s="5">
        <v>11</v>
      </c>
      <c r="J273" s="10">
        <v>3583</v>
      </c>
      <c r="K273" s="10">
        <v>39413</v>
      </c>
      <c r="L273" s="10">
        <v>17595.47</v>
      </c>
      <c r="M273" s="10">
        <v>21817.53</v>
      </c>
      <c r="N273" s="8" t="s">
        <v>32</v>
      </c>
      <c r="O273" s="8" t="s">
        <v>22</v>
      </c>
      <c r="P273" s="8" t="s">
        <v>23</v>
      </c>
      <c r="Q273" s="3">
        <f t="shared" si="5"/>
        <v>0.55356176895948039</v>
      </c>
      <c r="R273" s="8" t="str" cm="1">
        <f t="array" ref="R273">_xlfn.IFS(Q273&gt;40%,"Alta",Q273&gt;20%,"Média",Q273&lt;20%,"Baixa")</f>
        <v>Alta</v>
      </c>
    </row>
    <row r="274" spans="1:18" x14ac:dyDescent="0.25">
      <c r="A274" s="5">
        <v>249</v>
      </c>
      <c r="B274" s="6">
        <v>45833</v>
      </c>
      <c r="C274" s="8" t="s">
        <v>16</v>
      </c>
      <c r="D274" s="8" t="s">
        <v>35</v>
      </c>
      <c r="E274" s="8" t="s">
        <v>37</v>
      </c>
      <c r="F274" s="5">
        <v>3502</v>
      </c>
      <c r="G274" s="8" t="s">
        <v>19</v>
      </c>
      <c r="H274" s="8" t="s">
        <v>43</v>
      </c>
      <c r="I274" s="5">
        <v>11</v>
      </c>
      <c r="J274" s="10">
        <v>3569</v>
      </c>
      <c r="K274" s="10">
        <v>39259</v>
      </c>
      <c r="L274" s="10">
        <v>27829.83</v>
      </c>
      <c r="M274" s="10">
        <v>11429.17</v>
      </c>
      <c r="N274" s="8" t="s">
        <v>28</v>
      </c>
      <c r="O274" s="8" t="s">
        <v>22</v>
      </c>
      <c r="P274" s="8" t="s">
        <v>23</v>
      </c>
      <c r="Q274" s="3">
        <f t="shared" si="5"/>
        <v>0.29112229043021981</v>
      </c>
      <c r="R274" s="8" t="str" cm="1">
        <f t="array" ref="R274">_xlfn.IFS(Q274&gt;40%,"Alta",Q274&gt;20%,"Média",Q274&lt;20%,"Baixa")</f>
        <v>Média</v>
      </c>
    </row>
    <row r="275" spans="1:18" x14ac:dyDescent="0.25">
      <c r="A275" s="5">
        <v>5</v>
      </c>
      <c r="B275" s="6">
        <v>45809</v>
      </c>
      <c r="C275" s="8" t="s">
        <v>34</v>
      </c>
      <c r="D275" s="8" t="s">
        <v>35</v>
      </c>
      <c r="E275" s="8" t="s">
        <v>37</v>
      </c>
      <c r="F275" s="5">
        <v>7807</v>
      </c>
      <c r="G275" s="8" t="s">
        <v>19</v>
      </c>
      <c r="H275" s="8" t="s">
        <v>38</v>
      </c>
      <c r="I275" s="5">
        <v>19</v>
      </c>
      <c r="J275" s="10">
        <v>2053</v>
      </c>
      <c r="K275" s="10">
        <v>39007</v>
      </c>
      <c r="L275" s="10">
        <v>22904.74</v>
      </c>
      <c r="M275" s="10">
        <v>16102.26</v>
      </c>
      <c r="N275" s="8" t="s">
        <v>28</v>
      </c>
      <c r="O275" s="8" t="s">
        <v>39</v>
      </c>
      <c r="P275" s="8" t="s">
        <v>40</v>
      </c>
      <c r="Q275" s="3">
        <f t="shared" si="5"/>
        <v>0.41280436844668905</v>
      </c>
      <c r="R275" s="8" t="str" cm="1">
        <f t="array" ref="R275">_xlfn.IFS(Q275&gt;40%,"Alta",Q275&gt;20%,"Média",Q275&lt;20%,"Baixa")</f>
        <v>Alta</v>
      </c>
    </row>
    <row r="276" spans="1:18" x14ac:dyDescent="0.25">
      <c r="A276" s="5">
        <v>849</v>
      </c>
      <c r="B276" s="6">
        <v>45667</v>
      </c>
      <c r="C276" s="8" t="s">
        <v>34</v>
      </c>
      <c r="D276" s="8" t="s">
        <v>45</v>
      </c>
      <c r="E276" s="8" t="s">
        <v>25</v>
      </c>
      <c r="F276" s="5">
        <v>1061</v>
      </c>
      <c r="G276" s="8" t="s">
        <v>26</v>
      </c>
      <c r="H276" s="8" t="s">
        <v>38</v>
      </c>
      <c r="I276" s="5">
        <v>17</v>
      </c>
      <c r="J276" s="10">
        <v>2294</v>
      </c>
      <c r="K276" s="10">
        <v>38998</v>
      </c>
      <c r="L276" s="10">
        <v>20628.71</v>
      </c>
      <c r="M276" s="10">
        <v>18369.29</v>
      </c>
      <c r="N276" s="8" t="s">
        <v>28</v>
      </c>
      <c r="O276" s="8" t="s">
        <v>39</v>
      </c>
      <c r="P276" s="8" t="s">
        <v>29</v>
      </c>
      <c r="Q276" s="3">
        <f t="shared" si="5"/>
        <v>0.47103159136365969</v>
      </c>
      <c r="R276" s="8" t="str" cm="1">
        <f t="array" ref="R276">_xlfn.IFS(Q276&gt;40%,"Alta",Q276&gt;20%,"Média",Q276&lt;20%,"Baixa")</f>
        <v>Alta</v>
      </c>
    </row>
    <row r="277" spans="1:18" x14ac:dyDescent="0.25">
      <c r="A277" s="5">
        <v>32</v>
      </c>
      <c r="B277" s="6">
        <v>45661</v>
      </c>
      <c r="C277" s="8" t="s">
        <v>16</v>
      </c>
      <c r="D277" s="8" t="s">
        <v>17</v>
      </c>
      <c r="E277" s="8" t="s">
        <v>25</v>
      </c>
      <c r="F277" s="5">
        <v>3159</v>
      </c>
      <c r="G277" s="8" t="s">
        <v>26</v>
      </c>
      <c r="H277" s="8" t="s">
        <v>31</v>
      </c>
      <c r="I277" s="5">
        <v>15</v>
      </c>
      <c r="J277" s="10">
        <v>2567</v>
      </c>
      <c r="K277" s="10">
        <v>38505</v>
      </c>
      <c r="L277" s="10">
        <v>18632.919999999998</v>
      </c>
      <c r="M277" s="10">
        <v>19872.080000000002</v>
      </c>
      <c r="N277" s="8" t="s">
        <v>32</v>
      </c>
      <c r="O277" s="8" t="s">
        <v>33</v>
      </c>
      <c r="P277" s="8" t="s">
        <v>44</v>
      </c>
      <c r="Q277" s="3">
        <f t="shared" si="5"/>
        <v>0.51609089728606683</v>
      </c>
      <c r="R277" s="8" t="str" cm="1">
        <f t="array" ref="R277">_xlfn.IFS(Q277&gt;40%,"Alta",Q277&gt;20%,"Média",Q277&lt;20%,"Baixa")</f>
        <v>Alta</v>
      </c>
    </row>
    <row r="278" spans="1:18" x14ac:dyDescent="0.25">
      <c r="A278" s="5">
        <v>875</v>
      </c>
      <c r="B278" s="6">
        <v>45695</v>
      </c>
      <c r="C278" s="8" t="s">
        <v>24</v>
      </c>
      <c r="D278" s="8" t="s">
        <v>30</v>
      </c>
      <c r="E278" s="8" t="s">
        <v>25</v>
      </c>
      <c r="F278" s="5">
        <v>6424</v>
      </c>
      <c r="G278" s="8" t="s">
        <v>19</v>
      </c>
      <c r="H278" s="8" t="s">
        <v>31</v>
      </c>
      <c r="I278" s="5">
        <v>16</v>
      </c>
      <c r="J278" s="10">
        <v>2397</v>
      </c>
      <c r="K278" s="10">
        <v>38352</v>
      </c>
      <c r="L278" s="10">
        <v>26905.5</v>
      </c>
      <c r="M278" s="10">
        <v>11446.5</v>
      </c>
      <c r="N278" s="8" t="s">
        <v>28</v>
      </c>
      <c r="O278" s="8" t="s">
        <v>33</v>
      </c>
      <c r="P278" s="8" t="s">
        <v>40</v>
      </c>
      <c r="Q278" s="3">
        <f t="shared" si="5"/>
        <v>0.29845901126408009</v>
      </c>
      <c r="R278" s="8" t="str" cm="1">
        <f t="array" ref="R278">_xlfn.IFS(Q278&gt;40%,"Alta",Q278&gt;20%,"Média",Q278&lt;20%,"Baixa")</f>
        <v>Média</v>
      </c>
    </row>
    <row r="279" spans="1:18" x14ac:dyDescent="0.25">
      <c r="A279" s="5">
        <v>630</v>
      </c>
      <c r="B279" s="6">
        <v>45666</v>
      </c>
      <c r="C279" s="8" t="s">
        <v>47</v>
      </c>
      <c r="D279" s="8" t="s">
        <v>35</v>
      </c>
      <c r="E279" s="8" t="s">
        <v>25</v>
      </c>
      <c r="F279" s="5">
        <v>2129</v>
      </c>
      <c r="G279" s="8" t="s">
        <v>36</v>
      </c>
      <c r="H279" s="8" t="s">
        <v>20</v>
      </c>
      <c r="I279" s="5">
        <v>16</v>
      </c>
      <c r="J279" s="10">
        <v>2394</v>
      </c>
      <c r="K279" s="10">
        <v>38304</v>
      </c>
      <c r="L279" s="10">
        <v>22827.85</v>
      </c>
      <c r="M279" s="10">
        <v>15476.15</v>
      </c>
      <c r="N279" s="8" t="s">
        <v>28</v>
      </c>
      <c r="O279" s="8" t="s">
        <v>33</v>
      </c>
      <c r="P279" s="8" t="s">
        <v>29</v>
      </c>
      <c r="Q279" s="3">
        <f t="shared" si="5"/>
        <v>0.40403482664995821</v>
      </c>
      <c r="R279" s="8" t="str" cm="1">
        <f t="array" ref="R279">_xlfn.IFS(Q279&gt;40%,"Alta",Q279&gt;20%,"Média",Q279&lt;20%,"Baixa")</f>
        <v>Alta</v>
      </c>
    </row>
    <row r="280" spans="1:18" x14ac:dyDescent="0.25">
      <c r="A280" s="5">
        <v>127</v>
      </c>
      <c r="B280" s="6">
        <v>45834</v>
      </c>
      <c r="C280" s="8" t="s">
        <v>47</v>
      </c>
      <c r="D280" s="8" t="s">
        <v>17</v>
      </c>
      <c r="E280" s="8" t="s">
        <v>37</v>
      </c>
      <c r="F280" s="5">
        <v>1806</v>
      </c>
      <c r="G280" s="8" t="s">
        <v>26</v>
      </c>
      <c r="H280" s="8" t="s">
        <v>43</v>
      </c>
      <c r="I280" s="5">
        <v>9</v>
      </c>
      <c r="J280" s="10">
        <v>4250</v>
      </c>
      <c r="K280" s="10">
        <v>38250</v>
      </c>
      <c r="L280" s="10">
        <v>20748.55</v>
      </c>
      <c r="M280" s="10">
        <v>17501.45</v>
      </c>
      <c r="N280" s="8" t="s">
        <v>21</v>
      </c>
      <c r="O280" s="8" t="s">
        <v>33</v>
      </c>
      <c r="P280" s="8" t="s">
        <v>29</v>
      </c>
      <c r="Q280" s="3">
        <f t="shared" si="5"/>
        <v>0.45755424836601311</v>
      </c>
      <c r="R280" s="8" t="str" cm="1">
        <f t="array" ref="R280">_xlfn.IFS(Q280&gt;40%,"Alta",Q280&gt;20%,"Média",Q280&lt;20%,"Baixa")</f>
        <v>Alta</v>
      </c>
    </row>
    <row r="281" spans="1:18" x14ac:dyDescent="0.25">
      <c r="A281" s="5">
        <v>714</v>
      </c>
      <c r="B281" s="6">
        <v>45798</v>
      </c>
      <c r="C281" s="8" t="s">
        <v>34</v>
      </c>
      <c r="D281" s="8" t="s">
        <v>42</v>
      </c>
      <c r="E281" s="8" t="s">
        <v>25</v>
      </c>
      <c r="F281" s="5">
        <v>1135</v>
      </c>
      <c r="G281" s="8" t="s">
        <v>26</v>
      </c>
      <c r="H281" s="8" t="s">
        <v>43</v>
      </c>
      <c r="I281" s="5">
        <v>10</v>
      </c>
      <c r="J281" s="10">
        <v>3815</v>
      </c>
      <c r="K281" s="10">
        <v>38150</v>
      </c>
      <c r="L281" s="10">
        <v>26502.65</v>
      </c>
      <c r="M281" s="10">
        <v>11647.35</v>
      </c>
      <c r="N281" s="8" t="s">
        <v>21</v>
      </c>
      <c r="O281" s="8" t="s">
        <v>22</v>
      </c>
      <c r="P281" s="8" t="s">
        <v>40</v>
      </c>
      <c r="Q281" s="3">
        <f t="shared" si="5"/>
        <v>0.30530406290956752</v>
      </c>
      <c r="R281" s="8" t="str" cm="1">
        <f t="array" ref="R281">_xlfn.IFS(Q281&gt;40%,"Alta",Q281&gt;20%,"Média",Q281&lt;20%,"Baixa")</f>
        <v>Média</v>
      </c>
    </row>
    <row r="282" spans="1:18" x14ac:dyDescent="0.25">
      <c r="A282" s="5">
        <v>701</v>
      </c>
      <c r="B282" s="6">
        <v>45782</v>
      </c>
      <c r="C282" s="8" t="s">
        <v>34</v>
      </c>
      <c r="D282" s="8" t="s">
        <v>30</v>
      </c>
      <c r="E282" s="8" t="s">
        <v>37</v>
      </c>
      <c r="F282" s="5">
        <v>4460</v>
      </c>
      <c r="G282" s="8" t="s">
        <v>26</v>
      </c>
      <c r="H282" s="8" t="s">
        <v>38</v>
      </c>
      <c r="I282" s="5">
        <v>18</v>
      </c>
      <c r="J282" s="10">
        <v>2115</v>
      </c>
      <c r="K282" s="10">
        <v>38070</v>
      </c>
      <c r="L282" s="10">
        <v>15403.07</v>
      </c>
      <c r="M282" s="10">
        <v>22666.93</v>
      </c>
      <c r="N282" s="8" t="s">
        <v>21</v>
      </c>
      <c r="O282" s="8" t="s">
        <v>39</v>
      </c>
      <c r="P282" s="8" t="s">
        <v>44</v>
      </c>
      <c r="Q282" s="3">
        <f t="shared" si="5"/>
        <v>0.59540136590491199</v>
      </c>
      <c r="R282" s="8" t="str" cm="1">
        <f t="array" ref="R282">_xlfn.IFS(Q282&gt;40%,"Alta",Q282&gt;20%,"Média",Q282&lt;20%,"Baixa")</f>
        <v>Alta</v>
      </c>
    </row>
    <row r="283" spans="1:18" x14ac:dyDescent="0.25">
      <c r="A283" s="5">
        <v>79</v>
      </c>
      <c r="B283" s="6">
        <v>45773</v>
      </c>
      <c r="C283" s="8" t="s">
        <v>16</v>
      </c>
      <c r="D283" s="8" t="s">
        <v>42</v>
      </c>
      <c r="E283" s="8" t="s">
        <v>41</v>
      </c>
      <c r="F283" s="5">
        <v>7465</v>
      </c>
      <c r="G283" s="8" t="s">
        <v>19</v>
      </c>
      <c r="H283" s="8" t="s">
        <v>31</v>
      </c>
      <c r="I283" s="5">
        <v>16</v>
      </c>
      <c r="J283" s="10">
        <v>2379</v>
      </c>
      <c r="K283" s="10">
        <v>38064</v>
      </c>
      <c r="L283" s="10">
        <v>15657.5</v>
      </c>
      <c r="M283" s="10">
        <v>22406.5</v>
      </c>
      <c r="N283" s="8" t="s">
        <v>28</v>
      </c>
      <c r="O283" s="8" t="s">
        <v>39</v>
      </c>
      <c r="P283" s="8" t="s">
        <v>44</v>
      </c>
      <c r="Q283" s="3">
        <f t="shared" si="5"/>
        <v>0.58865332072299281</v>
      </c>
      <c r="R283" s="8" t="str" cm="1">
        <f t="array" ref="R283">_xlfn.IFS(Q283&gt;40%,"Alta",Q283&gt;20%,"Média",Q283&lt;20%,"Baixa")</f>
        <v>Alta</v>
      </c>
    </row>
    <row r="284" spans="1:18" x14ac:dyDescent="0.25">
      <c r="A284" s="5">
        <v>982</v>
      </c>
      <c r="B284" s="6">
        <v>45665</v>
      </c>
      <c r="C284" s="8" t="s">
        <v>24</v>
      </c>
      <c r="D284" s="8" t="s">
        <v>42</v>
      </c>
      <c r="E284" s="8" t="s">
        <v>37</v>
      </c>
      <c r="F284" s="5">
        <v>8612</v>
      </c>
      <c r="G284" s="8" t="s">
        <v>26</v>
      </c>
      <c r="H284" s="8" t="s">
        <v>27</v>
      </c>
      <c r="I284" s="5">
        <v>10</v>
      </c>
      <c r="J284" s="10">
        <v>3793</v>
      </c>
      <c r="K284" s="10">
        <v>37930</v>
      </c>
      <c r="L284" s="10">
        <v>27166.1</v>
      </c>
      <c r="M284" s="10">
        <v>10763.9</v>
      </c>
      <c r="N284" s="8" t="s">
        <v>32</v>
      </c>
      <c r="O284" s="8" t="s">
        <v>22</v>
      </c>
      <c r="P284" s="8" t="s">
        <v>46</v>
      </c>
      <c r="Q284" s="3">
        <f t="shared" si="5"/>
        <v>0.28378328499868177</v>
      </c>
      <c r="R284" s="8" t="str" cm="1">
        <f t="array" ref="R284">_xlfn.IFS(Q284&gt;40%,"Alta",Q284&gt;20%,"Média",Q284&lt;20%,"Baixa")</f>
        <v>Média</v>
      </c>
    </row>
    <row r="285" spans="1:18" x14ac:dyDescent="0.25">
      <c r="A285" s="5">
        <v>382</v>
      </c>
      <c r="B285" s="6">
        <v>45718</v>
      </c>
      <c r="C285" s="8" t="s">
        <v>24</v>
      </c>
      <c r="D285" s="8" t="s">
        <v>30</v>
      </c>
      <c r="E285" s="8" t="s">
        <v>37</v>
      </c>
      <c r="F285" s="5">
        <v>1468</v>
      </c>
      <c r="G285" s="8" t="s">
        <v>36</v>
      </c>
      <c r="H285" s="8" t="s">
        <v>31</v>
      </c>
      <c r="I285" s="5">
        <v>19</v>
      </c>
      <c r="J285" s="10">
        <v>1994</v>
      </c>
      <c r="K285" s="10">
        <v>37886</v>
      </c>
      <c r="L285" s="10">
        <v>21508.75</v>
      </c>
      <c r="M285" s="10">
        <v>16377.25</v>
      </c>
      <c r="N285" s="8" t="s">
        <v>21</v>
      </c>
      <c r="O285" s="8" t="s">
        <v>33</v>
      </c>
      <c r="P285" s="8" t="s">
        <v>44</v>
      </c>
      <c r="Q285" s="3">
        <f t="shared" si="5"/>
        <v>0.43227709444121837</v>
      </c>
      <c r="R285" s="8" t="str" cm="1">
        <f t="array" ref="R285">_xlfn.IFS(Q285&gt;40%,"Alta",Q285&gt;20%,"Média",Q285&lt;20%,"Baixa")</f>
        <v>Alta</v>
      </c>
    </row>
    <row r="286" spans="1:18" x14ac:dyDescent="0.25">
      <c r="A286" s="5">
        <v>154</v>
      </c>
      <c r="B286" s="6">
        <v>45792</v>
      </c>
      <c r="C286" s="8" t="s">
        <v>47</v>
      </c>
      <c r="D286" s="8" t="s">
        <v>45</v>
      </c>
      <c r="E286" s="8" t="s">
        <v>37</v>
      </c>
      <c r="F286" s="5">
        <v>4209</v>
      </c>
      <c r="G286" s="8" t="s">
        <v>26</v>
      </c>
      <c r="H286" s="8" t="s">
        <v>38</v>
      </c>
      <c r="I286" s="5">
        <v>17</v>
      </c>
      <c r="J286" s="10">
        <v>2221</v>
      </c>
      <c r="K286" s="10">
        <v>37757</v>
      </c>
      <c r="L286" s="10">
        <v>23871.54</v>
      </c>
      <c r="M286" s="10">
        <v>13885.46</v>
      </c>
      <c r="N286" s="8" t="s">
        <v>32</v>
      </c>
      <c r="O286" s="8" t="s">
        <v>22</v>
      </c>
      <c r="P286" s="8" t="s">
        <v>40</v>
      </c>
      <c r="Q286" s="3">
        <f t="shared" si="5"/>
        <v>0.36775856132637652</v>
      </c>
      <c r="R286" s="8" t="str" cm="1">
        <f t="array" ref="R286">_xlfn.IFS(Q286&gt;40%,"Alta",Q286&gt;20%,"Média",Q286&lt;20%,"Baixa")</f>
        <v>Média</v>
      </c>
    </row>
    <row r="287" spans="1:18" x14ac:dyDescent="0.25">
      <c r="A287" s="5">
        <v>619</v>
      </c>
      <c r="B287" s="6">
        <v>45771</v>
      </c>
      <c r="C287" s="8" t="s">
        <v>16</v>
      </c>
      <c r="D287" s="8" t="s">
        <v>30</v>
      </c>
      <c r="E287" s="8" t="s">
        <v>18</v>
      </c>
      <c r="F287" s="5">
        <v>9841</v>
      </c>
      <c r="G287" s="8" t="s">
        <v>19</v>
      </c>
      <c r="H287" s="8" t="s">
        <v>31</v>
      </c>
      <c r="I287" s="5">
        <v>11</v>
      </c>
      <c r="J287" s="10">
        <v>3410</v>
      </c>
      <c r="K287" s="10">
        <v>37510</v>
      </c>
      <c r="L287" s="10">
        <v>20773.38</v>
      </c>
      <c r="M287" s="10">
        <v>16736.62</v>
      </c>
      <c r="N287" s="8" t="s">
        <v>32</v>
      </c>
      <c r="O287" s="8" t="s">
        <v>33</v>
      </c>
      <c r="P287" s="8" t="s">
        <v>23</v>
      </c>
      <c r="Q287" s="3">
        <f t="shared" si="5"/>
        <v>0.44619088243135163</v>
      </c>
      <c r="R287" s="8" t="str" cm="1">
        <f t="array" ref="R287">_xlfn.IFS(Q287&gt;40%,"Alta",Q287&gt;20%,"Média",Q287&lt;20%,"Baixa")</f>
        <v>Alta</v>
      </c>
    </row>
    <row r="288" spans="1:18" x14ac:dyDescent="0.25">
      <c r="A288" s="5">
        <v>696</v>
      </c>
      <c r="B288" s="6">
        <v>45665</v>
      </c>
      <c r="C288" s="8" t="s">
        <v>47</v>
      </c>
      <c r="D288" s="8" t="s">
        <v>35</v>
      </c>
      <c r="E288" s="8" t="s">
        <v>25</v>
      </c>
      <c r="F288" s="5">
        <v>1312</v>
      </c>
      <c r="G288" s="8" t="s">
        <v>36</v>
      </c>
      <c r="H288" s="8" t="s">
        <v>31</v>
      </c>
      <c r="I288" s="5">
        <v>14</v>
      </c>
      <c r="J288" s="10">
        <v>2679</v>
      </c>
      <c r="K288" s="10">
        <v>37506</v>
      </c>
      <c r="L288" s="10">
        <v>21688.36</v>
      </c>
      <c r="M288" s="10">
        <v>15817.64</v>
      </c>
      <c r="N288" s="8" t="s">
        <v>32</v>
      </c>
      <c r="O288" s="8" t="s">
        <v>22</v>
      </c>
      <c r="P288" s="8" t="s">
        <v>40</v>
      </c>
      <c r="Q288" s="3">
        <f t="shared" si="5"/>
        <v>0.42173625553244815</v>
      </c>
      <c r="R288" s="8" t="str" cm="1">
        <f t="array" ref="R288">_xlfn.IFS(Q288&gt;40%,"Alta",Q288&gt;20%,"Média",Q288&lt;20%,"Baixa")</f>
        <v>Alta</v>
      </c>
    </row>
    <row r="289" spans="1:18" x14ac:dyDescent="0.25">
      <c r="A289" s="5">
        <v>521</v>
      </c>
      <c r="B289" s="6">
        <v>45706</v>
      </c>
      <c r="C289" s="8" t="s">
        <v>47</v>
      </c>
      <c r="D289" s="8" t="s">
        <v>45</v>
      </c>
      <c r="E289" s="8" t="s">
        <v>37</v>
      </c>
      <c r="F289" s="5">
        <v>9447</v>
      </c>
      <c r="G289" s="8" t="s">
        <v>26</v>
      </c>
      <c r="H289" s="8" t="s">
        <v>38</v>
      </c>
      <c r="I289" s="5">
        <v>9</v>
      </c>
      <c r="J289" s="10">
        <v>4143</v>
      </c>
      <c r="K289" s="10">
        <v>37287</v>
      </c>
      <c r="L289" s="10">
        <v>20345.25</v>
      </c>
      <c r="M289" s="10">
        <v>16941.75</v>
      </c>
      <c r="N289" s="8" t="s">
        <v>28</v>
      </c>
      <c r="O289" s="8" t="s">
        <v>22</v>
      </c>
      <c r="P289" s="8" t="s">
        <v>23</v>
      </c>
      <c r="Q289" s="3">
        <f t="shared" si="5"/>
        <v>0.45436076916887924</v>
      </c>
      <c r="R289" s="8" t="str" cm="1">
        <f t="array" ref="R289">_xlfn.IFS(Q289&gt;40%,"Alta",Q289&gt;20%,"Média",Q289&lt;20%,"Baixa")</f>
        <v>Alta</v>
      </c>
    </row>
    <row r="290" spans="1:18" x14ac:dyDescent="0.25">
      <c r="A290" s="5">
        <v>10</v>
      </c>
      <c r="B290" s="6">
        <v>45819</v>
      </c>
      <c r="C290" s="8" t="s">
        <v>24</v>
      </c>
      <c r="D290" s="8" t="s">
        <v>30</v>
      </c>
      <c r="E290" s="8" t="s">
        <v>18</v>
      </c>
      <c r="F290" s="5">
        <v>4719</v>
      </c>
      <c r="G290" s="8" t="s">
        <v>36</v>
      </c>
      <c r="H290" s="8" t="s">
        <v>20</v>
      </c>
      <c r="I290" s="5">
        <v>14</v>
      </c>
      <c r="J290" s="10">
        <v>2662</v>
      </c>
      <c r="K290" s="10">
        <v>37268</v>
      </c>
      <c r="L290" s="10">
        <v>21251.02</v>
      </c>
      <c r="M290" s="10">
        <v>16016.98</v>
      </c>
      <c r="N290" s="8" t="s">
        <v>21</v>
      </c>
      <c r="O290" s="8" t="s">
        <v>22</v>
      </c>
      <c r="P290" s="8" t="s">
        <v>40</v>
      </c>
      <c r="Q290" s="3">
        <f t="shared" si="5"/>
        <v>0.42977836213373405</v>
      </c>
      <c r="R290" s="8" t="str" cm="1">
        <f t="array" ref="R290">_xlfn.IFS(Q290&gt;40%,"Alta",Q290&gt;20%,"Média",Q290&lt;20%,"Baixa")</f>
        <v>Alta</v>
      </c>
    </row>
    <row r="291" spans="1:18" x14ac:dyDescent="0.25">
      <c r="A291" s="5">
        <v>199</v>
      </c>
      <c r="B291" s="6">
        <v>45671</v>
      </c>
      <c r="C291" s="8" t="s">
        <v>16</v>
      </c>
      <c r="D291" s="8" t="s">
        <v>35</v>
      </c>
      <c r="E291" s="8" t="s">
        <v>18</v>
      </c>
      <c r="F291" s="5">
        <v>1337</v>
      </c>
      <c r="G291" s="8" t="s">
        <v>19</v>
      </c>
      <c r="H291" s="8" t="s">
        <v>31</v>
      </c>
      <c r="I291" s="5">
        <v>15</v>
      </c>
      <c r="J291" s="10">
        <v>2484</v>
      </c>
      <c r="K291" s="10">
        <v>37260</v>
      </c>
      <c r="L291" s="10">
        <v>19698.29</v>
      </c>
      <c r="M291" s="10">
        <v>17561.71</v>
      </c>
      <c r="N291" s="8" t="s">
        <v>28</v>
      </c>
      <c r="O291" s="8" t="s">
        <v>33</v>
      </c>
      <c r="P291" s="8" t="s">
        <v>44</v>
      </c>
      <c r="Q291" s="3">
        <f t="shared" si="5"/>
        <v>0.47132877079978525</v>
      </c>
      <c r="R291" s="8" t="str" cm="1">
        <f t="array" ref="R291">_xlfn.IFS(Q291&gt;40%,"Alta",Q291&gt;20%,"Média",Q291&lt;20%,"Baixa")</f>
        <v>Alta</v>
      </c>
    </row>
    <row r="292" spans="1:18" x14ac:dyDescent="0.25">
      <c r="A292" s="5">
        <v>972</v>
      </c>
      <c r="B292" s="6">
        <v>45812</v>
      </c>
      <c r="C292" s="8" t="s">
        <v>16</v>
      </c>
      <c r="D292" s="8" t="s">
        <v>42</v>
      </c>
      <c r="E292" s="8" t="s">
        <v>41</v>
      </c>
      <c r="F292" s="5">
        <v>9304</v>
      </c>
      <c r="G292" s="8" t="s">
        <v>19</v>
      </c>
      <c r="H292" s="8" t="s">
        <v>38</v>
      </c>
      <c r="I292" s="5">
        <v>19</v>
      </c>
      <c r="J292" s="10">
        <v>1956</v>
      </c>
      <c r="K292" s="10">
        <v>37164</v>
      </c>
      <c r="L292" s="10">
        <v>22226.59</v>
      </c>
      <c r="M292" s="10">
        <v>14937.41</v>
      </c>
      <c r="N292" s="8" t="s">
        <v>28</v>
      </c>
      <c r="O292" s="8" t="s">
        <v>33</v>
      </c>
      <c r="P292" s="8" t="s">
        <v>44</v>
      </c>
      <c r="Q292" s="3">
        <f t="shared" si="5"/>
        <v>0.40193224625982132</v>
      </c>
      <c r="R292" s="8" t="str" cm="1">
        <f t="array" ref="R292">_xlfn.IFS(Q292&gt;40%,"Alta",Q292&gt;20%,"Média",Q292&lt;20%,"Baixa")</f>
        <v>Alta</v>
      </c>
    </row>
    <row r="293" spans="1:18" x14ac:dyDescent="0.25">
      <c r="A293" s="5">
        <v>498</v>
      </c>
      <c r="B293" s="6">
        <v>45825</v>
      </c>
      <c r="C293" s="8" t="s">
        <v>16</v>
      </c>
      <c r="D293" s="8" t="s">
        <v>45</v>
      </c>
      <c r="E293" s="8" t="s">
        <v>25</v>
      </c>
      <c r="F293" s="5">
        <v>1854</v>
      </c>
      <c r="G293" s="8" t="s">
        <v>36</v>
      </c>
      <c r="H293" s="8" t="s">
        <v>43</v>
      </c>
      <c r="I293" s="5">
        <v>16</v>
      </c>
      <c r="J293" s="10">
        <v>2309</v>
      </c>
      <c r="K293" s="10">
        <v>36944</v>
      </c>
      <c r="L293" s="10">
        <v>29424.75</v>
      </c>
      <c r="M293" s="10">
        <v>7519.25</v>
      </c>
      <c r="N293" s="8" t="s">
        <v>28</v>
      </c>
      <c r="O293" s="8" t="s">
        <v>33</v>
      </c>
      <c r="P293" s="8" t="s">
        <v>40</v>
      </c>
      <c r="Q293" s="3">
        <f t="shared" si="5"/>
        <v>0.20353101992204417</v>
      </c>
      <c r="R293" s="8" t="str" cm="1">
        <f t="array" ref="R293">_xlfn.IFS(Q293&gt;40%,"Alta",Q293&gt;20%,"Média",Q293&lt;20%,"Baixa")</f>
        <v>Média</v>
      </c>
    </row>
    <row r="294" spans="1:18" x14ac:dyDescent="0.25">
      <c r="A294" s="5">
        <v>762</v>
      </c>
      <c r="B294" s="6">
        <v>45835</v>
      </c>
      <c r="C294" s="8" t="s">
        <v>24</v>
      </c>
      <c r="D294" s="8" t="s">
        <v>17</v>
      </c>
      <c r="E294" s="8" t="s">
        <v>25</v>
      </c>
      <c r="F294" s="5">
        <v>3005</v>
      </c>
      <c r="G294" s="8" t="s">
        <v>26</v>
      </c>
      <c r="H294" s="8" t="s">
        <v>20</v>
      </c>
      <c r="I294" s="5">
        <v>16</v>
      </c>
      <c r="J294" s="10">
        <v>2304</v>
      </c>
      <c r="K294" s="10">
        <v>36864</v>
      </c>
      <c r="L294" s="10">
        <v>16514.55</v>
      </c>
      <c r="M294" s="10">
        <v>20349.45</v>
      </c>
      <c r="N294" s="8" t="s">
        <v>28</v>
      </c>
      <c r="O294" s="8" t="s">
        <v>39</v>
      </c>
      <c r="P294" s="8" t="s">
        <v>29</v>
      </c>
      <c r="Q294" s="3">
        <f t="shared" si="5"/>
        <v>0.55201416015625004</v>
      </c>
      <c r="R294" s="8" t="str" cm="1">
        <f t="array" ref="R294">_xlfn.IFS(Q294&gt;40%,"Alta",Q294&gt;20%,"Média",Q294&lt;20%,"Baixa")</f>
        <v>Alta</v>
      </c>
    </row>
    <row r="295" spans="1:18" x14ac:dyDescent="0.25">
      <c r="A295" s="5">
        <v>569</v>
      </c>
      <c r="B295" s="6">
        <v>45695</v>
      </c>
      <c r="C295" s="8" t="s">
        <v>47</v>
      </c>
      <c r="D295" s="8" t="s">
        <v>17</v>
      </c>
      <c r="E295" s="8" t="s">
        <v>18</v>
      </c>
      <c r="F295" s="5">
        <v>6556</v>
      </c>
      <c r="G295" s="8" t="s">
        <v>19</v>
      </c>
      <c r="H295" s="8" t="s">
        <v>31</v>
      </c>
      <c r="I295" s="5">
        <v>11</v>
      </c>
      <c r="J295" s="10">
        <v>3349</v>
      </c>
      <c r="K295" s="10">
        <v>36839</v>
      </c>
      <c r="L295" s="10">
        <v>19978.11</v>
      </c>
      <c r="M295" s="10">
        <v>16860.89</v>
      </c>
      <c r="N295" s="8" t="s">
        <v>21</v>
      </c>
      <c r="O295" s="8" t="s">
        <v>39</v>
      </c>
      <c r="P295" s="8" t="s">
        <v>46</v>
      </c>
      <c r="Q295" s="3">
        <f t="shared" si="5"/>
        <v>0.45769130541002739</v>
      </c>
      <c r="R295" s="8" t="str" cm="1">
        <f t="array" ref="R295">_xlfn.IFS(Q295&gt;40%,"Alta",Q295&gt;20%,"Média",Q295&lt;20%,"Baixa")</f>
        <v>Alta</v>
      </c>
    </row>
    <row r="296" spans="1:18" x14ac:dyDescent="0.25">
      <c r="A296" s="5">
        <v>98</v>
      </c>
      <c r="B296" s="6">
        <v>45735</v>
      </c>
      <c r="C296" s="8" t="s">
        <v>24</v>
      </c>
      <c r="D296" s="8" t="s">
        <v>17</v>
      </c>
      <c r="E296" s="8" t="s">
        <v>18</v>
      </c>
      <c r="F296" s="5">
        <v>5693</v>
      </c>
      <c r="G296" s="8" t="s">
        <v>26</v>
      </c>
      <c r="H296" s="8" t="s">
        <v>20</v>
      </c>
      <c r="I296" s="5">
        <v>12</v>
      </c>
      <c r="J296" s="10">
        <v>3069</v>
      </c>
      <c r="K296" s="10">
        <v>36828</v>
      </c>
      <c r="L296" s="10">
        <v>29053.13</v>
      </c>
      <c r="M296" s="10">
        <v>7774.87</v>
      </c>
      <c r="N296" s="8" t="s">
        <v>28</v>
      </c>
      <c r="O296" s="8" t="s">
        <v>33</v>
      </c>
      <c r="P296" s="8" t="s">
        <v>46</v>
      </c>
      <c r="Q296" s="3">
        <f t="shared" si="5"/>
        <v>0.21111301183881828</v>
      </c>
      <c r="R296" s="8" t="str" cm="1">
        <f t="array" ref="R296">_xlfn.IFS(Q296&gt;40%,"Alta",Q296&gt;20%,"Média",Q296&lt;20%,"Baixa")</f>
        <v>Média</v>
      </c>
    </row>
    <row r="297" spans="1:18" x14ac:dyDescent="0.25">
      <c r="A297" s="5">
        <v>844</v>
      </c>
      <c r="B297" s="6">
        <v>45820</v>
      </c>
      <c r="C297" s="8" t="s">
        <v>24</v>
      </c>
      <c r="D297" s="8" t="s">
        <v>30</v>
      </c>
      <c r="E297" s="8" t="s">
        <v>37</v>
      </c>
      <c r="F297" s="5">
        <v>9737</v>
      </c>
      <c r="G297" s="8" t="s">
        <v>19</v>
      </c>
      <c r="H297" s="8" t="s">
        <v>27</v>
      </c>
      <c r="I297" s="5">
        <v>13</v>
      </c>
      <c r="J297" s="10">
        <v>2798</v>
      </c>
      <c r="K297" s="10">
        <v>36374</v>
      </c>
      <c r="L297" s="10">
        <v>21292.27</v>
      </c>
      <c r="M297" s="10">
        <v>15081.73</v>
      </c>
      <c r="N297" s="8" t="s">
        <v>28</v>
      </c>
      <c r="O297" s="8" t="s">
        <v>39</v>
      </c>
      <c r="P297" s="8" t="s">
        <v>44</v>
      </c>
      <c r="Q297" s="3">
        <f t="shared" si="5"/>
        <v>0.41462940561939848</v>
      </c>
      <c r="R297" s="8" t="str" cm="1">
        <f t="array" ref="R297">_xlfn.IFS(Q297&gt;40%,"Alta",Q297&gt;20%,"Média",Q297&lt;20%,"Baixa")</f>
        <v>Alta</v>
      </c>
    </row>
    <row r="298" spans="1:18" x14ac:dyDescent="0.25">
      <c r="A298" s="5">
        <v>311</v>
      </c>
      <c r="B298" s="6">
        <v>45664</v>
      </c>
      <c r="C298" s="8" t="s">
        <v>24</v>
      </c>
      <c r="D298" s="8" t="s">
        <v>45</v>
      </c>
      <c r="E298" s="8" t="s">
        <v>41</v>
      </c>
      <c r="F298" s="5">
        <v>1636</v>
      </c>
      <c r="G298" s="8" t="s">
        <v>36</v>
      </c>
      <c r="H298" s="8" t="s">
        <v>27</v>
      </c>
      <c r="I298" s="5">
        <v>8</v>
      </c>
      <c r="J298" s="10">
        <v>4541</v>
      </c>
      <c r="K298" s="10">
        <v>36328</v>
      </c>
      <c r="L298" s="10">
        <v>25690.33</v>
      </c>
      <c r="M298" s="10">
        <v>10637.67</v>
      </c>
      <c r="N298" s="8" t="s">
        <v>28</v>
      </c>
      <c r="O298" s="8" t="s">
        <v>39</v>
      </c>
      <c r="P298" s="8" t="s">
        <v>40</v>
      </c>
      <c r="Q298" s="3">
        <f t="shared" si="5"/>
        <v>0.29282289143360496</v>
      </c>
      <c r="R298" s="8" t="str" cm="1">
        <f t="array" ref="R298">_xlfn.IFS(Q298&gt;40%,"Alta",Q298&gt;20%,"Média",Q298&lt;20%,"Baixa")</f>
        <v>Média</v>
      </c>
    </row>
    <row r="299" spans="1:18" x14ac:dyDescent="0.25">
      <c r="A299" s="5">
        <v>89</v>
      </c>
      <c r="B299" s="6">
        <v>45659</v>
      </c>
      <c r="C299" s="8" t="s">
        <v>47</v>
      </c>
      <c r="D299" s="8" t="s">
        <v>45</v>
      </c>
      <c r="E299" s="8" t="s">
        <v>18</v>
      </c>
      <c r="F299" s="5">
        <v>7271</v>
      </c>
      <c r="G299" s="8" t="s">
        <v>36</v>
      </c>
      <c r="H299" s="8" t="s">
        <v>38</v>
      </c>
      <c r="I299" s="5">
        <v>14</v>
      </c>
      <c r="J299" s="10">
        <v>2594</v>
      </c>
      <c r="K299" s="10">
        <v>36316</v>
      </c>
      <c r="L299" s="10">
        <v>21856.55</v>
      </c>
      <c r="M299" s="10">
        <v>14459.45</v>
      </c>
      <c r="N299" s="8" t="s">
        <v>21</v>
      </c>
      <c r="O299" s="8" t="s">
        <v>39</v>
      </c>
      <c r="P299" s="8" t="s">
        <v>40</v>
      </c>
      <c r="Q299" s="3">
        <f t="shared" si="5"/>
        <v>0.39815645996255095</v>
      </c>
      <c r="R299" s="8" t="str" cm="1">
        <f t="array" ref="R299">_xlfn.IFS(Q299&gt;40%,"Alta",Q299&gt;20%,"Média",Q299&lt;20%,"Baixa")</f>
        <v>Média</v>
      </c>
    </row>
    <row r="300" spans="1:18" x14ac:dyDescent="0.25">
      <c r="A300" s="5">
        <v>189</v>
      </c>
      <c r="B300" s="6">
        <v>45725</v>
      </c>
      <c r="C300" s="8" t="s">
        <v>34</v>
      </c>
      <c r="D300" s="8" t="s">
        <v>17</v>
      </c>
      <c r="E300" s="8" t="s">
        <v>25</v>
      </c>
      <c r="F300" s="5">
        <v>4421</v>
      </c>
      <c r="G300" s="8" t="s">
        <v>19</v>
      </c>
      <c r="H300" s="8" t="s">
        <v>43</v>
      </c>
      <c r="I300" s="5">
        <v>11</v>
      </c>
      <c r="J300" s="10">
        <v>3277</v>
      </c>
      <c r="K300" s="10">
        <v>36047</v>
      </c>
      <c r="L300" s="10">
        <v>20601.25</v>
      </c>
      <c r="M300" s="10">
        <v>15445.75</v>
      </c>
      <c r="N300" s="8" t="s">
        <v>32</v>
      </c>
      <c r="O300" s="8" t="s">
        <v>22</v>
      </c>
      <c r="P300" s="8" t="s">
        <v>29</v>
      </c>
      <c r="Q300" s="3">
        <f t="shared" si="5"/>
        <v>0.42848919466252394</v>
      </c>
      <c r="R300" s="8" t="str" cm="1">
        <f t="array" ref="R300">_xlfn.IFS(Q300&gt;40%,"Alta",Q300&gt;20%,"Média",Q300&lt;20%,"Baixa")</f>
        <v>Alta</v>
      </c>
    </row>
    <row r="301" spans="1:18" x14ac:dyDescent="0.25">
      <c r="A301" s="5">
        <v>91</v>
      </c>
      <c r="B301" s="6">
        <v>45690</v>
      </c>
      <c r="C301" s="8" t="s">
        <v>47</v>
      </c>
      <c r="D301" s="8" t="s">
        <v>17</v>
      </c>
      <c r="E301" s="8" t="s">
        <v>37</v>
      </c>
      <c r="F301" s="5">
        <v>4168</v>
      </c>
      <c r="G301" s="8" t="s">
        <v>26</v>
      </c>
      <c r="H301" s="8" t="s">
        <v>27</v>
      </c>
      <c r="I301" s="5">
        <v>19</v>
      </c>
      <c r="J301" s="10">
        <v>1896</v>
      </c>
      <c r="K301" s="10">
        <v>36024</v>
      </c>
      <c r="L301" s="10">
        <v>22637.200000000001</v>
      </c>
      <c r="M301" s="10">
        <v>13386.8</v>
      </c>
      <c r="N301" s="8" t="s">
        <v>21</v>
      </c>
      <c r="O301" s="8" t="s">
        <v>33</v>
      </c>
      <c r="P301" s="8" t="s">
        <v>40</v>
      </c>
      <c r="Q301" s="3">
        <f t="shared" si="5"/>
        <v>0.37160781701088164</v>
      </c>
      <c r="R301" s="8" t="str" cm="1">
        <f t="array" ref="R301">_xlfn.IFS(Q301&gt;40%,"Alta",Q301&gt;20%,"Média",Q301&lt;20%,"Baixa")</f>
        <v>Média</v>
      </c>
    </row>
    <row r="302" spans="1:18" x14ac:dyDescent="0.25">
      <c r="A302" s="5">
        <v>699</v>
      </c>
      <c r="B302" s="6">
        <v>45717</v>
      </c>
      <c r="C302" s="8" t="s">
        <v>34</v>
      </c>
      <c r="D302" s="8" t="s">
        <v>35</v>
      </c>
      <c r="E302" s="8" t="s">
        <v>25</v>
      </c>
      <c r="F302" s="5">
        <v>7538</v>
      </c>
      <c r="G302" s="8" t="s">
        <v>19</v>
      </c>
      <c r="H302" s="8" t="s">
        <v>43</v>
      </c>
      <c r="I302" s="5">
        <v>15</v>
      </c>
      <c r="J302" s="10">
        <v>2401</v>
      </c>
      <c r="K302" s="10">
        <v>36015</v>
      </c>
      <c r="L302" s="10">
        <v>18108.3</v>
      </c>
      <c r="M302" s="10">
        <v>17906.7</v>
      </c>
      <c r="N302" s="8" t="s">
        <v>32</v>
      </c>
      <c r="O302" s="8" t="s">
        <v>39</v>
      </c>
      <c r="P302" s="8" t="s">
        <v>23</v>
      </c>
      <c r="Q302" s="3">
        <f t="shared" si="5"/>
        <v>0.49720116618075805</v>
      </c>
      <c r="R302" s="8" t="str" cm="1">
        <f t="array" ref="R302">_xlfn.IFS(Q302&gt;40%,"Alta",Q302&gt;20%,"Média",Q302&lt;20%,"Baixa")</f>
        <v>Alta</v>
      </c>
    </row>
    <row r="303" spans="1:18" x14ac:dyDescent="0.25">
      <c r="A303" s="5">
        <v>410</v>
      </c>
      <c r="B303" s="6">
        <v>45674</v>
      </c>
      <c r="C303" s="8" t="s">
        <v>34</v>
      </c>
      <c r="D303" s="8" t="s">
        <v>42</v>
      </c>
      <c r="E303" s="8" t="s">
        <v>41</v>
      </c>
      <c r="F303" s="5">
        <v>1749</v>
      </c>
      <c r="G303" s="8" t="s">
        <v>19</v>
      </c>
      <c r="H303" s="8" t="s">
        <v>31</v>
      </c>
      <c r="I303" s="5">
        <v>17</v>
      </c>
      <c r="J303" s="10">
        <v>2114</v>
      </c>
      <c r="K303" s="10">
        <v>35938</v>
      </c>
      <c r="L303" s="10">
        <v>23744.86</v>
      </c>
      <c r="M303" s="10">
        <v>12193.14</v>
      </c>
      <c r="N303" s="8" t="s">
        <v>32</v>
      </c>
      <c r="O303" s="8" t="s">
        <v>22</v>
      </c>
      <c r="P303" s="8" t="s">
        <v>40</v>
      </c>
      <c r="Q303" s="3">
        <f t="shared" si="5"/>
        <v>0.33928265345873448</v>
      </c>
      <c r="R303" s="8" t="str" cm="1">
        <f t="array" ref="R303">_xlfn.IFS(Q303&gt;40%,"Alta",Q303&gt;20%,"Média",Q303&lt;20%,"Baixa")</f>
        <v>Média</v>
      </c>
    </row>
    <row r="304" spans="1:18" x14ac:dyDescent="0.25">
      <c r="A304" s="5">
        <v>597</v>
      </c>
      <c r="B304" s="6">
        <v>45813</v>
      </c>
      <c r="C304" s="8" t="s">
        <v>47</v>
      </c>
      <c r="D304" s="8" t="s">
        <v>17</v>
      </c>
      <c r="E304" s="8" t="s">
        <v>25</v>
      </c>
      <c r="F304" s="5">
        <v>4366</v>
      </c>
      <c r="G304" s="8" t="s">
        <v>26</v>
      </c>
      <c r="H304" s="8" t="s">
        <v>20</v>
      </c>
      <c r="I304" s="5">
        <v>13</v>
      </c>
      <c r="J304" s="10">
        <v>2763</v>
      </c>
      <c r="K304" s="10">
        <v>35919</v>
      </c>
      <c r="L304" s="10">
        <v>20084.41</v>
      </c>
      <c r="M304" s="10">
        <v>15834.59</v>
      </c>
      <c r="N304" s="8" t="s">
        <v>32</v>
      </c>
      <c r="O304" s="8" t="s">
        <v>33</v>
      </c>
      <c r="P304" s="8" t="s">
        <v>23</v>
      </c>
      <c r="Q304" s="3">
        <f t="shared" si="5"/>
        <v>0.44084161585790249</v>
      </c>
      <c r="R304" s="8" t="str" cm="1">
        <f t="array" ref="R304">_xlfn.IFS(Q304&gt;40%,"Alta",Q304&gt;20%,"Média",Q304&lt;20%,"Baixa")</f>
        <v>Alta</v>
      </c>
    </row>
    <row r="305" spans="1:18" x14ac:dyDescent="0.25">
      <c r="A305" s="5">
        <v>102</v>
      </c>
      <c r="B305" s="6">
        <v>45715</v>
      </c>
      <c r="C305" s="8" t="s">
        <v>16</v>
      </c>
      <c r="D305" s="8" t="s">
        <v>30</v>
      </c>
      <c r="E305" s="8" t="s">
        <v>41</v>
      </c>
      <c r="F305" s="5">
        <v>6695</v>
      </c>
      <c r="G305" s="8" t="s">
        <v>36</v>
      </c>
      <c r="H305" s="8" t="s">
        <v>43</v>
      </c>
      <c r="I305" s="5">
        <v>12</v>
      </c>
      <c r="J305" s="10">
        <v>2979</v>
      </c>
      <c r="K305" s="10">
        <v>35748</v>
      </c>
      <c r="L305" s="10">
        <v>28442.01</v>
      </c>
      <c r="M305" s="10">
        <v>7305.99</v>
      </c>
      <c r="N305" s="8" t="s">
        <v>21</v>
      </c>
      <c r="O305" s="8" t="s">
        <v>22</v>
      </c>
      <c r="P305" s="8" t="s">
        <v>40</v>
      </c>
      <c r="Q305" s="3">
        <f t="shared" si="5"/>
        <v>0.20437479019805302</v>
      </c>
      <c r="R305" s="8" t="str" cm="1">
        <f t="array" ref="R305">_xlfn.IFS(Q305&gt;40%,"Alta",Q305&gt;20%,"Média",Q305&lt;20%,"Baixa")</f>
        <v>Média</v>
      </c>
    </row>
    <row r="306" spans="1:18" x14ac:dyDescent="0.25">
      <c r="A306" s="5">
        <v>726</v>
      </c>
      <c r="B306" s="6">
        <v>45823</v>
      </c>
      <c r="C306" s="8" t="s">
        <v>24</v>
      </c>
      <c r="D306" s="8" t="s">
        <v>30</v>
      </c>
      <c r="E306" s="8" t="s">
        <v>25</v>
      </c>
      <c r="F306" s="5">
        <v>5294</v>
      </c>
      <c r="G306" s="8" t="s">
        <v>19</v>
      </c>
      <c r="H306" s="8" t="s">
        <v>43</v>
      </c>
      <c r="I306" s="5">
        <v>13</v>
      </c>
      <c r="J306" s="10">
        <v>2726</v>
      </c>
      <c r="K306" s="10">
        <v>35438</v>
      </c>
      <c r="L306" s="10">
        <v>18424</v>
      </c>
      <c r="M306" s="10">
        <v>17014</v>
      </c>
      <c r="N306" s="8" t="s">
        <v>21</v>
      </c>
      <c r="O306" s="8" t="s">
        <v>22</v>
      </c>
      <c r="P306" s="8" t="s">
        <v>23</v>
      </c>
      <c r="Q306" s="3">
        <f t="shared" si="5"/>
        <v>0.48010610079575594</v>
      </c>
      <c r="R306" s="8" t="str" cm="1">
        <f t="array" ref="R306">_xlfn.IFS(Q306&gt;40%,"Alta",Q306&gt;20%,"Média",Q306&lt;20%,"Baixa")</f>
        <v>Alta</v>
      </c>
    </row>
    <row r="307" spans="1:18" x14ac:dyDescent="0.25">
      <c r="A307" s="5">
        <v>326</v>
      </c>
      <c r="B307" s="6">
        <v>45698</v>
      </c>
      <c r="C307" s="8" t="s">
        <v>34</v>
      </c>
      <c r="D307" s="8" t="s">
        <v>45</v>
      </c>
      <c r="E307" s="8" t="s">
        <v>37</v>
      </c>
      <c r="F307" s="5">
        <v>7388</v>
      </c>
      <c r="G307" s="8" t="s">
        <v>26</v>
      </c>
      <c r="H307" s="8" t="s">
        <v>20</v>
      </c>
      <c r="I307" s="5">
        <v>16</v>
      </c>
      <c r="J307" s="10">
        <v>2214</v>
      </c>
      <c r="K307" s="10">
        <v>35424</v>
      </c>
      <c r="L307" s="10">
        <v>22751.77</v>
      </c>
      <c r="M307" s="10">
        <v>12672.23</v>
      </c>
      <c r="N307" s="8" t="s">
        <v>21</v>
      </c>
      <c r="O307" s="8" t="s">
        <v>39</v>
      </c>
      <c r="P307" s="8" t="s">
        <v>44</v>
      </c>
      <c r="Q307" s="3">
        <f t="shared" si="5"/>
        <v>0.3577300700090334</v>
      </c>
      <c r="R307" s="8" t="str" cm="1">
        <f t="array" ref="R307">_xlfn.IFS(Q307&gt;40%,"Alta",Q307&gt;20%,"Média",Q307&lt;20%,"Baixa")</f>
        <v>Média</v>
      </c>
    </row>
    <row r="308" spans="1:18" x14ac:dyDescent="0.25">
      <c r="A308" s="5">
        <v>676</v>
      </c>
      <c r="B308" s="6">
        <v>45762</v>
      </c>
      <c r="C308" s="8" t="s">
        <v>34</v>
      </c>
      <c r="D308" s="8" t="s">
        <v>42</v>
      </c>
      <c r="E308" s="8" t="s">
        <v>25</v>
      </c>
      <c r="F308" s="5">
        <v>5057</v>
      </c>
      <c r="G308" s="8" t="s">
        <v>36</v>
      </c>
      <c r="H308" s="8" t="s">
        <v>43</v>
      </c>
      <c r="I308" s="5">
        <v>9</v>
      </c>
      <c r="J308" s="10">
        <v>3935</v>
      </c>
      <c r="K308" s="10">
        <v>35415</v>
      </c>
      <c r="L308" s="10">
        <v>19076.11</v>
      </c>
      <c r="M308" s="10">
        <v>16338.89</v>
      </c>
      <c r="N308" s="8" t="s">
        <v>21</v>
      </c>
      <c r="O308" s="8" t="s">
        <v>39</v>
      </c>
      <c r="P308" s="8" t="s">
        <v>46</v>
      </c>
      <c r="Q308" s="3">
        <f t="shared" si="5"/>
        <v>0.46135507553296623</v>
      </c>
      <c r="R308" s="8" t="str" cm="1">
        <f t="array" ref="R308">_xlfn.IFS(Q308&gt;40%,"Alta",Q308&gt;20%,"Média",Q308&lt;20%,"Baixa")</f>
        <v>Alta</v>
      </c>
    </row>
    <row r="309" spans="1:18" x14ac:dyDescent="0.25">
      <c r="A309" s="5">
        <v>621</v>
      </c>
      <c r="B309" s="6">
        <v>45799</v>
      </c>
      <c r="C309" s="8" t="s">
        <v>47</v>
      </c>
      <c r="D309" s="8" t="s">
        <v>30</v>
      </c>
      <c r="E309" s="8" t="s">
        <v>25</v>
      </c>
      <c r="F309" s="5">
        <v>5274</v>
      </c>
      <c r="G309" s="8" t="s">
        <v>26</v>
      </c>
      <c r="H309" s="8" t="s">
        <v>31</v>
      </c>
      <c r="I309" s="5">
        <v>12</v>
      </c>
      <c r="J309" s="10">
        <v>2947</v>
      </c>
      <c r="K309" s="10">
        <v>35364</v>
      </c>
      <c r="L309" s="10">
        <v>23097.62</v>
      </c>
      <c r="M309" s="10">
        <v>12266.38</v>
      </c>
      <c r="N309" s="8" t="s">
        <v>28</v>
      </c>
      <c r="O309" s="8" t="s">
        <v>39</v>
      </c>
      <c r="P309" s="8" t="s">
        <v>44</v>
      </c>
      <c r="Q309" s="3">
        <f t="shared" si="5"/>
        <v>0.34686064924782262</v>
      </c>
      <c r="R309" s="8" t="str" cm="1">
        <f t="array" ref="R309">_xlfn.IFS(Q309&gt;40%,"Alta",Q309&gt;20%,"Média",Q309&lt;20%,"Baixa")</f>
        <v>Média</v>
      </c>
    </row>
    <row r="310" spans="1:18" x14ac:dyDescent="0.25">
      <c r="A310" s="5">
        <v>334</v>
      </c>
      <c r="B310" s="6">
        <v>45717</v>
      </c>
      <c r="C310" s="8" t="s">
        <v>34</v>
      </c>
      <c r="D310" s="8" t="s">
        <v>45</v>
      </c>
      <c r="E310" s="8" t="s">
        <v>37</v>
      </c>
      <c r="F310" s="5">
        <v>1820</v>
      </c>
      <c r="G310" s="8" t="s">
        <v>26</v>
      </c>
      <c r="H310" s="8" t="s">
        <v>38</v>
      </c>
      <c r="I310" s="5">
        <v>10</v>
      </c>
      <c r="J310" s="10">
        <v>3528</v>
      </c>
      <c r="K310" s="10">
        <v>35280</v>
      </c>
      <c r="L310" s="10">
        <v>26474.43</v>
      </c>
      <c r="M310" s="10">
        <v>8805.57</v>
      </c>
      <c r="N310" s="8" t="s">
        <v>21</v>
      </c>
      <c r="O310" s="8" t="s">
        <v>22</v>
      </c>
      <c r="P310" s="8" t="s">
        <v>44</v>
      </c>
      <c r="Q310" s="3">
        <f t="shared" si="5"/>
        <v>0.24959098639455782</v>
      </c>
      <c r="R310" s="8" t="str" cm="1">
        <f t="array" ref="R310">_xlfn.IFS(Q310&gt;40%,"Alta",Q310&gt;20%,"Média",Q310&lt;20%,"Baixa")</f>
        <v>Média</v>
      </c>
    </row>
    <row r="311" spans="1:18" x14ac:dyDescent="0.25">
      <c r="A311" s="5">
        <v>476</v>
      </c>
      <c r="B311" s="6">
        <v>45699</v>
      </c>
      <c r="C311" s="8" t="s">
        <v>47</v>
      </c>
      <c r="D311" s="8" t="s">
        <v>30</v>
      </c>
      <c r="E311" s="8" t="s">
        <v>41</v>
      </c>
      <c r="F311" s="5">
        <v>6686</v>
      </c>
      <c r="G311" s="8" t="s">
        <v>26</v>
      </c>
      <c r="H311" s="8" t="s">
        <v>38</v>
      </c>
      <c r="I311" s="5">
        <v>17</v>
      </c>
      <c r="J311" s="10">
        <v>2072</v>
      </c>
      <c r="K311" s="10">
        <v>35224</v>
      </c>
      <c r="L311" s="10">
        <v>27232.7</v>
      </c>
      <c r="M311" s="10">
        <v>7991.3</v>
      </c>
      <c r="N311" s="8" t="s">
        <v>28</v>
      </c>
      <c r="O311" s="8" t="s">
        <v>22</v>
      </c>
      <c r="P311" s="8" t="s">
        <v>29</v>
      </c>
      <c r="Q311" s="3">
        <f t="shared" si="5"/>
        <v>0.22687088348853054</v>
      </c>
      <c r="R311" s="8" t="str" cm="1">
        <f t="array" ref="R311">_xlfn.IFS(Q311&gt;40%,"Alta",Q311&gt;20%,"Média",Q311&lt;20%,"Baixa")</f>
        <v>Média</v>
      </c>
    </row>
    <row r="312" spans="1:18" x14ac:dyDescent="0.25">
      <c r="A312" s="5">
        <v>52</v>
      </c>
      <c r="B312" s="6">
        <v>45787</v>
      </c>
      <c r="C312" s="8" t="s">
        <v>16</v>
      </c>
      <c r="D312" s="8" t="s">
        <v>17</v>
      </c>
      <c r="E312" s="8" t="s">
        <v>25</v>
      </c>
      <c r="F312" s="5">
        <v>4642</v>
      </c>
      <c r="G312" s="8" t="s">
        <v>19</v>
      </c>
      <c r="H312" s="8" t="s">
        <v>20</v>
      </c>
      <c r="I312" s="5">
        <v>8</v>
      </c>
      <c r="J312" s="10">
        <v>4394</v>
      </c>
      <c r="K312" s="10">
        <v>35152</v>
      </c>
      <c r="L312" s="10">
        <v>26038.43</v>
      </c>
      <c r="M312" s="10">
        <v>9113.57</v>
      </c>
      <c r="N312" s="8" t="s">
        <v>21</v>
      </c>
      <c r="O312" s="8" t="s">
        <v>39</v>
      </c>
      <c r="P312" s="8" t="s">
        <v>23</v>
      </c>
      <c r="Q312" s="3">
        <f t="shared" si="5"/>
        <v>0.25926177742375967</v>
      </c>
      <c r="R312" s="8" t="str" cm="1">
        <f t="array" ref="R312">_xlfn.IFS(Q312&gt;40%,"Alta",Q312&gt;20%,"Média",Q312&lt;20%,"Baixa")</f>
        <v>Média</v>
      </c>
    </row>
    <row r="313" spans="1:18" x14ac:dyDescent="0.25">
      <c r="A313" s="5">
        <v>353</v>
      </c>
      <c r="B313" s="6">
        <v>45776</v>
      </c>
      <c r="C313" s="8" t="s">
        <v>34</v>
      </c>
      <c r="D313" s="8" t="s">
        <v>35</v>
      </c>
      <c r="E313" s="8" t="s">
        <v>25</v>
      </c>
      <c r="F313" s="5">
        <v>5195</v>
      </c>
      <c r="G313" s="8" t="s">
        <v>26</v>
      </c>
      <c r="H313" s="8" t="s">
        <v>27</v>
      </c>
      <c r="I313" s="5">
        <v>20</v>
      </c>
      <c r="J313" s="10">
        <v>1757</v>
      </c>
      <c r="K313" s="10">
        <v>35140</v>
      </c>
      <c r="L313" s="10">
        <v>23383.63</v>
      </c>
      <c r="M313" s="10">
        <v>11756.37</v>
      </c>
      <c r="N313" s="8" t="s">
        <v>28</v>
      </c>
      <c r="O313" s="8" t="s">
        <v>39</v>
      </c>
      <c r="P313" s="8" t="s">
        <v>29</v>
      </c>
      <c r="Q313" s="3">
        <f t="shared" si="5"/>
        <v>0.33455805350028461</v>
      </c>
      <c r="R313" s="8" t="str" cm="1">
        <f t="array" ref="R313">_xlfn.IFS(Q313&gt;40%,"Alta",Q313&gt;20%,"Média",Q313&lt;20%,"Baixa")</f>
        <v>Média</v>
      </c>
    </row>
    <row r="314" spans="1:18" x14ac:dyDescent="0.25">
      <c r="A314" s="5">
        <v>291</v>
      </c>
      <c r="B314" s="6">
        <v>45801</v>
      </c>
      <c r="C314" s="8" t="s">
        <v>34</v>
      </c>
      <c r="D314" s="8" t="s">
        <v>45</v>
      </c>
      <c r="E314" s="8" t="s">
        <v>18</v>
      </c>
      <c r="F314" s="5">
        <v>6267</v>
      </c>
      <c r="G314" s="8" t="s">
        <v>19</v>
      </c>
      <c r="H314" s="8" t="s">
        <v>31</v>
      </c>
      <c r="I314" s="5">
        <v>8</v>
      </c>
      <c r="J314" s="10">
        <v>4389</v>
      </c>
      <c r="K314" s="10">
        <v>35112</v>
      </c>
      <c r="L314" s="10">
        <v>19015.54</v>
      </c>
      <c r="M314" s="10">
        <v>16096.46</v>
      </c>
      <c r="N314" s="8" t="s">
        <v>21</v>
      </c>
      <c r="O314" s="8" t="s">
        <v>33</v>
      </c>
      <c r="P314" s="8" t="s">
        <v>46</v>
      </c>
      <c r="Q314" s="3">
        <f t="shared" si="5"/>
        <v>0.45843187514240141</v>
      </c>
      <c r="R314" s="8" t="str" cm="1">
        <f t="array" ref="R314">_xlfn.IFS(Q314&gt;40%,"Alta",Q314&gt;20%,"Média",Q314&lt;20%,"Baixa")</f>
        <v>Alta</v>
      </c>
    </row>
    <row r="315" spans="1:18" x14ac:dyDescent="0.25">
      <c r="A315" s="5">
        <v>520</v>
      </c>
      <c r="B315" s="6">
        <v>45823</v>
      </c>
      <c r="C315" s="8" t="s">
        <v>16</v>
      </c>
      <c r="D315" s="8" t="s">
        <v>42</v>
      </c>
      <c r="E315" s="8" t="s">
        <v>25</v>
      </c>
      <c r="F315" s="5">
        <v>3405</v>
      </c>
      <c r="G315" s="8" t="s">
        <v>26</v>
      </c>
      <c r="H315" s="8" t="s">
        <v>27</v>
      </c>
      <c r="I315" s="5">
        <v>18</v>
      </c>
      <c r="J315" s="10">
        <v>1947</v>
      </c>
      <c r="K315" s="10">
        <v>35046</v>
      </c>
      <c r="L315" s="10">
        <v>14400.41</v>
      </c>
      <c r="M315" s="10">
        <v>20645.59</v>
      </c>
      <c r="N315" s="8" t="s">
        <v>32</v>
      </c>
      <c r="O315" s="8" t="s">
        <v>22</v>
      </c>
      <c r="P315" s="8" t="s">
        <v>40</v>
      </c>
      <c r="Q315" s="3">
        <f t="shared" si="5"/>
        <v>0.58909975460822916</v>
      </c>
      <c r="R315" s="8" t="str" cm="1">
        <f t="array" ref="R315">_xlfn.IFS(Q315&gt;40%,"Alta",Q315&gt;20%,"Média",Q315&lt;20%,"Baixa")</f>
        <v>Alta</v>
      </c>
    </row>
    <row r="316" spans="1:18" x14ac:dyDescent="0.25">
      <c r="A316" s="5">
        <v>188</v>
      </c>
      <c r="B316" s="6">
        <v>45826</v>
      </c>
      <c r="C316" s="8" t="s">
        <v>34</v>
      </c>
      <c r="D316" s="8" t="s">
        <v>45</v>
      </c>
      <c r="E316" s="8" t="s">
        <v>18</v>
      </c>
      <c r="F316" s="5">
        <v>6488</v>
      </c>
      <c r="G316" s="8" t="s">
        <v>36</v>
      </c>
      <c r="H316" s="8" t="s">
        <v>27</v>
      </c>
      <c r="I316" s="5">
        <v>7</v>
      </c>
      <c r="J316" s="10">
        <v>4992</v>
      </c>
      <c r="K316" s="10">
        <v>34944</v>
      </c>
      <c r="L316" s="10">
        <v>19921.46</v>
      </c>
      <c r="M316" s="10">
        <v>15022.54</v>
      </c>
      <c r="N316" s="8" t="s">
        <v>21</v>
      </c>
      <c r="O316" s="8" t="s">
        <v>33</v>
      </c>
      <c r="P316" s="8" t="s">
        <v>46</v>
      </c>
      <c r="Q316" s="3">
        <f t="shared" si="5"/>
        <v>0.42990327380952381</v>
      </c>
      <c r="R316" s="8" t="str" cm="1">
        <f t="array" ref="R316">_xlfn.IFS(Q316&gt;40%,"Alta",Q316&gt;20%,"Média",Q316&lt;20%,"Baixa")</f>
        <v>Alta</v>
      </c>
    </row>
    <row r="317" spans="1:18" x14ac:dyDescent="0.25">
      <c r="A317" s="5">
        <v>537</v>
      </c>
      <c r="B317" s="6">
        <v>45759</v>
      </c>
      <c r="C317" s="8" t="s">
        <v>16</v>
      </c>
      <c r="D317" s="8" t="s">
        <v>17</v>
      </c>
      <c r="E317" s="8" t="s">
        <v>18</v>
      </c>
      <c r="F317" s="5">
        <v>8051</v>
      </c>
      <c r="G317" s="8" t="s">
        <v>36</v>
      </c>
      <c r="H317" s="8" t="s">
        <v>20</v>
      </c>
      <c r="I317" s="5">
        <v>12</v>
      </c>
      <c r="J317" s="10">
        <v>2912</v>
      </c>
      <c r="K317" s="10">
        <v>34944</v>
      </c>
      <c r="L317" s="10">
        <v>15523.13</v>
      </c>
      <c r="M317" s="10">
        <v>19420.87</v>
      </c>
      <c r="N317" s="8" t="s">
        <v>28</v>
      </c>
      <c r="O317" s="8" t="s">
        <v>39</v>
      </c>
      <c r="P317" s="8" t="s">
        <v>23</v>
      </c>
      <c r="Q317" s="3">
        <f t="shared" si="5"/>
        <v>0.5557712339743589</v>
      </c>
      <c r="R317" s="8" t="str" cm="1">
        <f t="array" ref="R317">_xlfn.IFS(Q317&gt;40%,"Alta",Q317&gt;20%,"Média",Q317&lt;20%,"Baixa")</f>
        <v>Alta</v>
      </c>
    </row>
    <row r="318" spans="1:18" x14ac:dyDescent="0.25">
      <c r="A318" s="5">
        <v>234</v>
      </c>
      <c r="B318" s="6">
        <v>45766</v>
      </c>
      <c r="C318" s="8" t="s">
        <v>16</v>
      </c>
      <c r="D318" s="8" t="s">
        <v>17</v>
      </c>
      <c r="E318" s="8" t="s">
        <v>18</v>
      </c>
      <c r="F318" s="5">
        <v>1390</v>
      </c>
      <c r="G318" s="8" t="s">
        <v>36</v>
      </c>
      <c r="H318" s="8" t="s">
        <v>38</v>
      </c>
      <c r="I318" s="5">
        <v>11</v>
      </c>
      <c r="J318" s="10">
        <v>3173</v>
      </c>
      <c r="K318" s="10">
        <v>34903</v>
      </c>
      <c r="L318" s="10">
        <v>18044.98</v>
      </c>
      <c r="M318" s="10">
        <v>16858.02</v>
      </c>
      <c r="N318" s="8" t="s">
        <v>21</v>
      </c>
      <c r="O318" s="8" t="s">
        <v>33</v>
      </c>
      <c r="P318" s="8" t="s">
        <v>29</v>
      </c>
      <c r="Q318" s="3">
        <f t="shared" si="5"/>
        <v>0.48299630404263244</v>
      </c>
      <c r="R318" s="8" t="str" cm="1">
        <f t="array" ref="R318">_xlfn.IFS(Q318&gt;40%,"Alta",Q318&gt;20%,"Média",Q318&lt;20%,"Baixa")</f>
        <v>Alta</v>
      </c>
    </row>
    <row r="319" spans="1:18" x14ac:dyDescent="0.25">
      <c r="A319" s="5">
        <v>297</v>
      </c>
      <c r="B319" s="6">
        <v>45693</v>
      </c>
      <c r="C319" s="8" t="s">
        <v>47</v>
      </c>
      <c r="D319" s="8" t="s">
        <v>35</v>
      </c>
      <c r="E319" s="8" t="s">
        <v>18</v>
      </c>
      <c r="F319" s="5">
        <v>4475</v>
      </c>
      <c r="G319" s="8" t="s">
        <v>19</v>
      </c>
      <c r="H319" s="8" t="s">
        <v>20</v>
      </c>
      <c r="I319" s="5">
        <v>16</v>
      </c>
      <c r="J319" s="10">
        <v>2177</v>
      </c>
      <c r="K319" s="10">
        <v>34832</v>
      </c>
      <c r="L319" s="10">
        <v>16364.69</v>
      </c>
      <c r="M319" s="10">
        <v>18467.310000000001</v>
      </c>
      <c r="N319" s="8" t="s">
        <v>28</v>
      </c>
      <c r="O319" s="8" t="s">
        <v>22</v>
      </c>
      <c r="P319" s="8" t="s">
        <v>44</v>
      </c>
      <c r="Q319" s="3">
        <f t="shared" si="5"/>
        <v>0.53018230362884711</v>
      </c>
      <c r="R319" s="8" t="str" cm="1">
        <f t="array" ref="R319">_xlfn.IFS(Q319&gt;40%,"Alta",Q319&gt;20%,"Média",Q319&lt;20%,"Baixa")</f>
        <v>Alta</v>
      </c>
    </row>
    <row r="320" spans="1:18" x14ac:dyDescent="0.25">
      <c r="A320" s="5">
        <v>397</v>
      </c>
      <c r="B320" s="6">
        <v>45801</v>
      </c>
      <c r="C320" s="8" t="s">
        <v>24</v>
      </c>
      <c r="D320" s="8" t="s">
        <v>42</v>
      </c>
      <c r="E320" s="8" t="s">
        <v>18</v>
      </c>
      <c r="F320" s="5">
        <v>1209</v>
      </c>
      <c r="G320" s="8" t="s">
        <v>36</v>
      </c>
      <c r="H320" s="8" t="s">
        <v>20</v>
      </c>
      <c r="I320" s="5">
        <v>13</v>
      </c>
      <c r="J320" s="10">
        <v>2677</v>
      </c>
      <c r="K320" s="10">
        <v>34801</v>
      </c>
      <c r="L320" s="10">
        <v>27539.279999999999</v>
      </c>
      <c r="M320" s="10">
        <v>7261.72</v>
      </c>
      <c r="N320" s="8" t="s">
        <v>28</v>
      </c>
      <c r="O320" s="8" t="s">
        <v>33</v>
      </c>
      <c r="P320" s="8" t="s">
        <v>23</v>
      </c>
      <c r="Q320" s="3">
        <f t="shared" si="5"/>
        <v>0.20866411884715957</v>
      </c>
      <c r="R320" s="8" t="str" cm="1">
        <f t="array" ref="R320">_xlfn.IFS(Q320&gt;40%,"Alta",Q320&gt;20%,"Média",Q320&lt;20%,"Baixa")</f>
        <v>Média</v>
      </c>
    </row>
    <row r="321" spans="1:18" x14ac:dyDescent="0.25">
      <c r="A321" s="5">
        <v>390</v>
      </c>
      <c r="B321" s="6">
        <v>45741</v>
      </c>
      <c r="C321" s="8" t="s">
        <v>24</v>
      </c>
      <c r="D321" s="8" t="s">
        <v>42</v>
      </c>
      <c r="E321" s="8" t="s">
        <v>41</v>
      </c>
      <c r="F321" s="5">
        <v>7670</v>
      </c>
      <c r="G321" s="8" t="s">
        <v>19</v>
      </c>
      <c r="H321" s="8" t="s">
        <v>31</v>
      </c>
      <c r="I321" s="5">
        <v>15</v>
      </c>
      <c r="J321" s="10">
        <v>2319</v>
      </c>
      <c r="K321" s="10">
        <v>34785</v>
      </c>
      <c r="L321" s="10">
        <v>27482.34</v>
      </c>
      <c r="M321" s="10">
        <v>7302.66</v>
      </c>
      <c r="N321" s="8" t="s">
        <v>28</v>
      </c>
      <c r="O321" s="8" t="s">
        <v>33</v>
      </c>
      <c r="P321" s="8" t="s">
        <v>40</v>
      </c>
      <c r="Q321" s="3">
        <f t="shared" si="5"/>
        <v>0.2099370418283743</v>
      </c>
      <c r="R321" s="8" t="str" cm="1">
        <f t="array" ref="R321">_xlfn.IFS(Q321&gt;40%,"Alta",Q321&gt;20%,"Média",Q321&lt;20%,"Baixa")</f>
        <v>Média</v>
      </c>
    </row>
    <row r="322" spans="1:18" x14ac:dyDescent="0.25">
      <c r="A322" s="5">
        <v>595</v>
      </c>
      <c r="B322" s="6">
        <v>45724</v>
      </c>
      <c r="C322" s="8" t="s">
        <v>24</v>
      </c>
      <c r="D322" s="8" t="s">
        <v>45</v>
      </c>
      <c r="E322" s="8" t="s">
        <v>37</v>
      </c>
      <c r="F322" s="5">
        <v>7869</v>
      </c>
      <c r="G322" s="8" t="s">
        <v>26</v>
      </c>
      <c r="H322" s="8" t="s">
        <v>43</v>
      </c>
      <c r="I322" s="5">
        <v>15</v>
      </c>
      <c r="J322" s="10">
        <v>2319</v>
      </c>
      <c r="K322" s="10">
        <v>34785</v>
      </c>
      <c r="L322" s="10">
        <v>17161.66</v>
      </c>
      <c r="M322" s="10">
        <v>17623.34</v>
      </c>
      <c r="N322" s="8" t="s">
        <v>28</v>
      </c>
      <c r="O322" s="8" t="s">
        <v>39</v>
      </c>
      <c r="P322" s="8" t="s">
        <v>23</v>
      </c>
      <c r="Q322" s="3">
        <f t="shared" ref="Q322:Q385" si="6">M322/K322</f>
        <v>0.5066361937616789</v>
      </c>
      <c r="R322" s="8" t="str" cm="1">
        <f t="array" ref="R322">_xlfn.IFS(Q322&gt;40%,"Alta",Q322&gt;20%,"Média",Q322&lt;20%,"Baixa")</f>
        <v>Alta</v>
      </c>
    </row>
    <row r="323" spans="1:18" x14ac:dyDescent="0.25">
      <c r="A323" s="5">
        <v>518</v>
      </c>
      <c r="B323" s="6">
        <v>45831</v>
      </c>
      <c r="C323" s="8" t="s">
        <v>34</v>
      </c>
      <c r="D323" s="8" t="s">
        <v>35</v>
      </c>
      <c r="E323" s="8" t="s">
        <v>25</v>
      </c>
      <c r="F323" s="5">
        <v>3107</v>
      </c>
      <c r="G323" s="8" t="s">
        <v>19</v>
      </c>
      <c r="H323" s="8" t="s">
        <v>31</v>
      </c>
      <c r="I323" s="5">
        <v>14</v>
      </c>
      <c r="J323" s="10">
        <v>2468</v>
      </c>
      <c r="K323" s="10">
        <v>34552</v>
      </c>
      <c r="L323" s="10">
        <v>24512.34</v>
      </c>
      <c r="M323" s="10">
        <v>10039.66</v>
      </c>
      <c r="N323" s="8" t="s">
        <v>32</v>
      </c>
      <c r="O323" s="8" t="s">
        <v>33</v>
      </c>
      <c r="P323" s="8" t="s">
        <v>46</v>
      </c>
      <c r="Q323" s="3">
        <f t="shared" si="6"/>
        <v>0.29056668210233849</v>
      </c>
      <c r="R323" s="8" t="str" cm="1">
        <f t="array" ref="R323">_xlfn.IFS(Q323&gt;40%,"Alta",Q323&gt;20%,"Média",Q323&lt;20%,"Baixa")</f>
        <v>Média</v>
      </c>
    </row>
    <row r="324" spans="1:18" x14ac:dyDescent="0.25">
      <c r="A324" s="5">
        <v>327</v>
      </c>
      <c r="B324" s="6">
        <v>45759</v>
      </c>
      <c r="C324" s="8" t="s">
        <v>16</v>
      </c>
      <c r="D324" s="8" t="s">
        <v>17</v>
      </c>
      <c r="E324" s="8" t="s">
        <v>25</v>
      </c>
      <c r="F324" s="5">
        <v>7207</v>
      </c>
      <c r="G324" s="8" t="s">
        <v>19</v>
      </c>
      <c r="H324" s="8" t="s">
        <v>20</v>
      </c>
      <c r="I324" s="5">
        <v>10</v>
      </c>
      <c r="J324" s="10">
        <v>3454</v>
      </c>
      <c r="K324" s="10">
        <v>34540</v>
      </c>
      <c r="L324" s="10">
        <v>19498.78</v>
      </c>
      <c r="M324" s="10">
        <v>15041.22</v>
      </c>
      <c r="N324" s="8" t="s">
        <v>28</v>
      </c>
      <c r="O324" s="8" t="s">
        <v>39</v>
      </c>
      <c r="P324" s="8" t="s">
        <v>23</v>
      </c>
      <c r="Q324" s="3">
        <f t="shared" si="6"/>
        <v>0.43547249565720902</v>
      </c>
      <c r="R324" s="8" t="str" cm="1">
        <f t="array" ref="R324">_xlfn.IFS(Q324&gt;40%,"Alta",Q324&gt;20%,"Média",Q324&lt;20%,"Baixa")</f>
        <v>Alta</v>
      </c>
    </row>
    <row r="325" spans="1:18" x14ac:dyDescent="0.25">
      <c r="A325" s="5">
        <v>72</v>
      </c>
      <c r="B325" s="6">
        <v>45669</v>
      </c>
      <c r="C325" s="8" t="s">
        <v>24</v>
      </c>
      <c r="D325" s="8" t="s">
        <v>45</v>
      </c>
      <c r="E325" s="8" t="s">
        <v>37</v>
      </c>
      <c r="F325" s="5">
        <v>4241</v>
      </c>
      <c r="G325" s="8" t="s">
        <v>36</v>
      </c>
      <c r="H325" s="8" t="s">
        <v>20</v>
      </c>
      <c r="I325" s="5">
        <v>15</v>
      </c>
      <c r="J325" s="10">
        <v>2296</v>
      </c>
      <c r="K325" s="10">
        <v>34440</v>
      </c>
      <c r="L325" s="10">
        <v>16497.53</v>
      </c>
      <c r="M325" s="10">
        <v>17942.47</v>
      </c>
      <c r="N325" s="8" t="s">
        <v>28</v>
      </c>
      <c r="O325" s="8" t="s">
        <v>39</v>
      </c>
      <c r="P325" s="8" t="s">
        <v>23</v>
      </c>
      <c r="Q325" s="3">
        <f t="shared" si="6"/>
        <v>0.52097764227642285</v>
      </c>
      <c r="R325" s="8" t="str" cm="1">
        <f t="array" ref="R325">_xlfn.IFS(Q325&gt;40%,"Alta",Q325&gt;20%,"Média",Q325&lt;20%,"Baixa")</f>
        <v>Alta</v>
      </c>
    </row>
    <row r="326" spans="1:18" x14ac:dyDescent="0.25">
      <c r="A326" s="5">
        <v>579</v>
      </c>
      <c r="B326" s="6">
        <v>45804</v>
      </c>
      <c r="C326" s="8" t="s">
        <v>34</v>
      </c>
      <c r="D326" s="8" t="s">
        <v>30</v>
      </c>
      <c r="E326" s="8" t="s">
        <v>41</v>
      </c>
      <c r="F326" s="5">
        <v>2028</v>
      </c>
      <c r="G326" s="8" t="s">
        <v>36</v>
      </c>
      <c r="H326" s="8" t="s">
        <v>20</v>
      </c>
      <c r="I326" s="5">
        <v>15</v>
      </c>
      <c r="J326" s="10">
        <v>2280</v>
      </c>
      <c r="K326" s="10">
        <v>34200</v>
      </c>
      <c r="L326" s="10">
        <v>22019.61</v>
      </c>
      <c r="M326" s="10">
        <v>12180.39</v>
      </c>
      <c r="N326" s="8" t="s">
        <v>21</v>
      </c>
      <c r="O326" s="8" t="s">
        <v>39</v>
      </c>
      <c r="P326" s="8" t="s">
        <v>40</v>
      </c>
      <c r="Q326" s="3">
        <f t="shared" si="6"/>
        <v>0.35615175438596491</v>
      </c>
      <c r="R326" s="8" t="str" cm="1">
        <f t="array" ref="R326">_xlfn.IFS(Q326&gt;40%,"Alta",Q326&gt;20%,"Média",Q326&lt;20%,"Baixa")</f>
        <v>Média</v>
      </c>
    </row>
    <row r="327" spans="1:18" x14ac:dyDescent="0.25">
      <c r="A327" s="5">
        <v>747</v>
      </c>
      <c r="B327" s="6">
        <v>45659</v>
      </c>
      <c r="C327" s="8" t="s">
        <v>24</v>
      </c>
      <c r="D327" s="8" t="s">
        <v>30</v>
      </c>
      <c r="E327" s="8" t="s">
        <v>37</v>
      </c>
      <c r="F327" s="5">
        <v>6101</v>
      </c>
      <c r="G327" s="8" t="s">
        <v>26</v>
      </c>
      <c r="H327" s="8" t="s">
        <v>38</v>
      </c>
      <c r="I327" s="5">
        <v>12</v>
      </c>
      <c r="J327" s="10">
        <v>2849</v>
      </c>
      <c r="K327" s="10">
        <v>34188</v>
      </c>
      <c r="L327" s="10">
        <v>21272.35</v>
      </c>
      <c r="M327" s="10">
        <v>12915.65</v>
      </c>
      <c r="N327" s="8" t="s">
        <v>28</v>
      </c>
      <c r="O327" s="8" t="s">
        <v>22</v>
      </c>
      <c r="P327" s="8" t="s">
        <v>40</v>
      </c>
      <c r="Q327" s="3">
        <f t="shared" si="6"/>
        <v>0.37778314028314025</v>
      </c>
      <c r="R327" s="8" t="str" cm="1">
        <f t="array" ref="R327">_xlfn.IFS(Q327&gt;40%,"Alta",Q327&gt;20%,"Média",Q327&lt;20%,"Baixa")</f>
        <v>Média</v>
      </c>
    </row>
    <row r="328" spans="1:18" x14ac:dyDescent="0.25">
      <c r="A328" s="5">
        <v>259</v>
      </c>
      <c r="B328" s="6">
        <v>45787</v>
      </c>
      <c r="C328" s="8" t="s">
        <v>34</v>
      </c>
      <c r="D328" s="8" t="s">
        <v>17</v>
      </c>
      <c r="E328" s="8" t="s">
        <v>18</v>
      </c>
      <c r="F328" s="5">
        <v>1600</v>
      </c>
      <c r="G328" s="8" t="s">
        <v>26</v>
      </c>
      <c r="H328" s="8" t="s">
        <v>43</v>
      </c>
      <c r="I328" s="5">
        <v>18</v>
      </c>
      <c r="J328" s="10">
        <v>1892</v>
      </c>
      <c r="K328" s="10">
        <v>34056</v>
      </c>
      <c r="L328" s="10">
        <v>21585.89</v>
      </c>
      <c r="M328" s="10">
        <v>12470.11</v>
      </c>
      <c r="N328" s="8" t="s">
        <v>32</v>
      </c>
      <c r="O328" s="8" t="s">
        <v>33</v>
      </c>
      <c r="P328" s="8" t="s">
        <v>44</v>
      </c>
      <c r="Q328" s="3">
        <f t="shared" si="6"/>
        <v>0.36616484613577638</v>
      </c>
      <c r="R328" s="8" t="str" cm="1">
        <f t="array" ref="R328">_xlfn.IFS(Q328&gt;40%,"Alta",Q328&gt;20%,"Média",Q328&lt;20%,"Baixa")</f>
        <v>Média</v>
      </c>
    </row>
    <row r="329" spans="1:18" x14ac:dyDescent="0.25">
      <c r="A329" s="5">
        <v>439</v>
      </c>
      <c r="B329" s="6">
        <v>45720</v>
      </c>
      <c r="C329" s="8" t="s">
        <v>34</v>
      </c>
      <c r="D329" s="8" t="s">
        <v>42</v>
      </c>
      <c r="E329" s="8" t="s">
        <v>41</v>
      </c>
      <c r="F329" s="5">
        <v>8778</v>
      </c>
      <c r="G329" s="8" t="s">
        <v>19</v>
      </c>
      <c r="H329" s="8" t="s">
        <v>20</v>
      </c>
      <c r="I329" s="5">
        <v>7</v>
      </c>
      <c r="J329" s="10">
        <v>4865</v>
      </c>
      <c r="K329" s="10">
        <v>34055</v>
      </c>
      <c r="L329" s="10">
        <v>26850.2</v>
      </c>
      <c r="M329" s="10">
        <v>7204.8</v>
      </c>
      <c r="N329" s="8" t="s">
        <v>28</v>
      </c>
      <c r="O329" s="8" t="s">
        <v>22</v>
      </c>
      <c r="P329" s="8" t="s">
        <v>46</v>
      </c>
      <c r="Q329" s="3">
        <f t="shared" si="6"/>
        <v>0.21156364704155045</v>
      </c>
      <c r="R329" s="8" t="str" cm="1">
        <f t="array" ref="R329">_xlfn.IFS(Q329&gt;40%,"Alta",Q329&gt;20%,"Média",Q329&lt;20%,"Baixa")</f>
        <v>Média</v>
      </c>
    </row>
    <row r="330" spans="1:18" x14ac:dyDescent="0.25">
      <c r="A330" s="5">
        <v>404</v>
      </c>
      <c r="B330" s="6">
        <v>45708</v>
      </c>
      <c r="C330" s="8" t="s">
        <v>34</v>
      </c>
      <c r="D330" s="8" t="s">
        <v>45</v>
      </c>
      <c r="E330" s="8" t="s">
        <v>37</v>
      </c>
      <c r="F330" s="5">
        <v>2279</v>
      </c>
      <c r="G330" s="8" t="s">
        <v>36</v>
      </c>
      <c r="H330" s="8" t="s">
        <v>43</v>
      </c>
      <c r="I330" s="5">
        <v>20</v>
      </c>
      <c r="J330" s="10">
        <v>1700</v>
      </c>
      <c r="K330" s="10">
        <v>34000</v>
      </c>
      <c r="L330" s="10">
        <v>13774.51</v>
      </c>
      <c r="M330" s="10">
        <v>20225.490000000002</v>
      </c>
      <c r="N330" s="8" t="s">
        <v>32</v>
      </c>
      <c r="O330" s="8" t="s">
        <v>33</v>
      </c>
      <c r="P330" s="8" t="s">
        <v>46</v>
      </c>
      <c r="Q330" s="3">
        <f t="shared" si="6"/>
        <v>0.59486735294117654</v>
      </c>
      <c r="R330" s="8" t="str" cm="1">
        <f t="array" ref="R330">_xlfn.IFS(Q330&gt;40%,"Alta",Q330&gt;20%,"Média",Q330&lt;20%,"Baixa")</f>
        <v>Alta</v>
      </c>
    </row>
    <row r="331" spans="1:18" x14ac:dyDescent="0.25">
      <c r="A331" s="5">
        <v>915</v>
      </c>
      <c r="B331" s="6">
        <v>45717</v>
      </c>
      <c r="C331" s="8" t="s">
        <v>16</v>
      </c>
      <c r="D331" s="8" t="s">
        <v>42</v>
      </c>
      <c r="E331" s="8" t="s">
        <v>25</v>
      </c>
      <c r="F331" s="5">
        <v>8644</v>
      </c>
      <c r="G331" s="8" t="s">
        <v>19</v>
      </c>
      <c r="H331" s="8" t="s">
        <v>43</v>
      </c>
      <c r="I331" s="5">
        <v>8</v>
      </c>
      <c r="J331" s="10">
        <v>4246</v>
      </c>
      <c r="K331" s="10">
        <v>33968</v>
      </c>
      <c r="L331" s="10">
        <v>24461.49</v>
      </c>
      <c r="M331" s="10">
        <v>9506.51</v>
      </c>
      <c r="N331" s="8" t="s">
        <v>32</v>
      </c>
      <c r="O331" s="8" t="s">
        <v>33</v>
      </c>
      <c r="P331" s="8" t="s">
        <v>44</v>
      </c>
      <c r="Q331" s="3">
        <f t="shared" si="6"/>
        <v>0.27986663918982574</v>
      </c>
      <c r="R331" s="8" t="str" cm="1">
        <f t="array" ref="R331">_xlfn.IFS(Q331&gt;40%,"Alta",Q331&gt;20%,"Média",Q331&lt;20%,"Baixa")</f>
        <v>Média</v>
      </c>
    </row>
    <row r="332" spans="1:18" x14ac:dyDescent="0.25">
      <c r="A332" s="5">
        <v>862</v>
      </c>
      <c r="B332" s="6">
        <v>45686</v>
      </c>
      <c r="C332" s="8" t="s">
        <v>34</v>
      </c>
      <c r="D332" s="8" t="s">
        <v>35</v>
      </c>
      <c r="E332" s="8" t="s">
        <v>18</v>
      </c>
      <c r="F332" s="5">
        <v>7243</v>
      </c>
      <c r="G332" s="8" t="s">
        <v>19</v>
      </c>
      <c r="H332" s="8" t="s">
        <v>43</v>
      </c>
      <c r="I332" s="5">
        <v>15</v>
      </c>
      <c r="J332" s="10">
        <v>2263</v>
      </c>
      <c r="K332" s="10">
        <v>33945</v>
      </c>
      <c r="L332" s="10">
        <v>16767.439999999999</v>
      </c>
      <c r="M332" s="10">
        <v>17177.560000000001</v>
      </c>
      <c r="N332" s="8" t="s">
        <v>32</v>
      </c>
      <c r="O332" s="8" t="s">
        <v>22</v>
      </c>
      <c r="P332" s="8" t="s">
        <v>44</v>
      </c>
      <c r="Q332" s="3">
        <f t="shared" si="6"/>
        <v>0.50604094859331272</v>
      </c>
      <c r="R332" s="8" t="str" cm="1">
        <f t="array" ref="R332">_xlfn.IFS(Q332&gt;40%,"Alta",Q332&gt;20%,"Média",Q332&lt;20%,"Baixa")</f>
        <v>Alta</v>
      </c>
    </row>
    <row r="333" spans="1:18" x14ac:dyDescent="0.25">
      <c r="A333" s="5">
        <v>312</v>
      </c>
      <c r="B333" s="6">
        <v>45659</v>
      </c>
      <c r="C333" s="8" t="s">
        <v>47</v>
      </c>
      <c r="D333" s="8" t="s">
        <v>35</v>
      </c>
      <c r="E333" s="8" t="s">
        <v>41</v>
      </c>
      <c r="F333" s="5">
        <v>3259</v>
      </c>
      <c r="G333" s="8" t="s">
        <v>36</v>
      </c>
      <c r="H333" s="8" t="s">
        <v>43</v>
      </c>
      <c r="I333" s="5">
        <v>19</v>
      </c>
      <c r="J333" s="10">
        <v>1780</v>
      </c>
      <c r="K333" s="10">
        <v>33820</v>
      </c>
      <c r="L333" s="10">
        <v>18449.12</v>
      </c>
      <c r="M333" s="10">
        <v>15370.88</v>
      </c>
      <c r="N333" s="8" t="s">
        <v>28</v>
      </c>
      <c r="O333" s="8" t="s">
        <v>33</v>
      </c>
      <c r="P333" s="8" t="s">
        <v>44</v>
      </c>
      <c r="Q333" s="3">
        <f t="shared" si="6"/>
        <v>0.45449083382613836</v>
      </c>
      <c r="R333" s="8" t="str" cm="1">
        <f t="array" ref="R333">_xlfn.IFS(Q333&gt;40%,"Alta",Q333&gt;20%,"Média",Q333&lt;20%,"Baixa")</f>
        <v>Alta</v>
      </c>
    </row>
    <row r="334" spans="1:18" x14ac:dyDescent="0.25">
      <c r="A334" s="5">
        <v>681</v>
      </c>
      <c r="B334" s="6">
        <v>45668</v>
      </c>
      <c r="C334" s="8" t="s">
        <v>24</v>
      </c>
      <c r="D334" s="8" t="s">
        <v>17</v>
      </c>
      <c r="E334" s="8" t="s">
        <v>41</v>
      </c>
      <c r="F334" s="5">
        <v>2498</v>
      </c>
      <c r="G334" s="8" t="s">
        <v>19</v>
      </c>
      <c r="H334" s="8" t="s">
        <v>27</v>
      </c>
      <c r="I334" s="5">
        <v>11</v>
      </c>
      <c r="J334" s="10">
        <v>3071</v>
      </c>
      <c r="K334" s="10">
        <v>33781</v>
      </c>
      <c r="L334" s="10">
        <v>23243.39</v>
      </c>
      <c r="M334" s="10">
        <v>10537.61</v>
      </c>
      <c r="N334" s="8" t="s">
        <v>32</v>
      </c>
      <c r="O334" s="8" t="s">
        <v>39</v>
      </c>
      <c r="P334" s="8" t="s">
        <v>44</v>
      </c>
      <c r="Q334" s="3">
        <f t="shared" si="6"/>
        <v>0.31193895977028507</v>
      </c>
      <c r="R334" s="8" t="str" cm="1">
        <f t="array" ref="R334">_xlfn.IFS(Q334&gt;40%,"Alta",Q334&gt;20%,"Média",Q334&lt;20%,"Baixa")</f>
        <v>Média</v>
      </c>
    </row>
    <row r="335" spans="1:18" x14ac:dyDescent="0.25">
      <c r="A335" s="5">
        <v>56</v>
      </c>
      <c r="B335" s="6">
        <v>45781</v>
      </c>
      <c r="C335" s="8" t="s">
        <v>34</v>
      </c>
      <c r="D335" s="8" t="s">
        <v>42</v>
      </c>
      <c r="E335" s="8" t="s">
        <v>37</v>
      </c>
      <c r="F335" s="5">
        <v>6891</v>
      </c>
      <c r="G335" s="8" t="s">
        <v>19</v>
      </c>
      <c r="H335" s="8" t="s">
        <v>31</v>
      </c>
      <c r="I335" s="5">
        <v>18</v>
      </c>
      <c r="J335" s="10">
        <v>1870</v>
      </c>
      <c r="K335" s="10">
        <v>33660</v>
      </c>
      <c r="L335" s="10">
        <v>17662.78</v>
      </c>
      <c r="M335" s="10">
        <v>15997.22</v>
      </c>
      <c r="N335" s="8" t="s">
        <v>21</v>
      </c>
      <c r="O335" s="8" t="s">
        <v>22</v>
      </c>
      <c r="P335" s="8" t="s">
        <v>40</v>
      </c>
      <c r="Q335" s="3">
        <f t="shared" si="6"/>
        <v>0.47525906120023764</v>
      </c>
      <c r="R335" s="8" t="str" cm="1">
        <f t="array" ref="R335">_xlfn.IFS(Q335&gt;40%,"Alta",Q335&gt;20%,"Média",Q335&lt;20%,"Baixa")</f>
        <v>Alta</v>
      </c>
    </row>
    <row r="336" spans="1:18" x14ac:dyDescent="0.25">
      <c r="A336" s="5">
        <v>986</v>
      </c>
      <c r="B336" s="6">
        <v>45666</v>
      </c>
      <c r="C336" s="8" t="s">
        <v>47</v>
      </c>
      <c r="D336" s="8" t="s">
        <v>45</v>
      </c>
      <c r="E336" s="8" t="s">
        <v>25</v>
      </c>
      <c r="F336" s="5">
        <v>5405</v>
      </c>
      <c r="G336" s="8" t="s">
        <v>36</v>
      </c>
      <c r="H336" s="8" t="s">
        <v>38</v>
      </c>
      <c r="I336" s="5">
        <v>18</v>
      </c>
      <c r="J336" s="10">
        <v>1863</v>
      </c>
      <c r="K336" s="10">
        <v>33534</v>
      </c>
      <c r="L336" s="10">
        <v>14053.37</v>
      </c>
      <c r="M336" s="10">
        <v>19480.63</v>
      </c>
      <c r="N336" s="8" t="s">
        <v>28</v>
      </c>
      <c r="O336" s="8" t="s">
        <v>33</v>
      </c>
      <c r="P336" s="8" t="s">
        <v>29</v>
      </c>
      <c r="Q336" s="3">
        <f t="shared" si="6"/>
        <v>0.58092175105862709</v>
      </c>
      <c r="R336" s="8" t="str" cm="1">
        <f t="array" ref="R336">_xlfn.IFS(Q336&gt;40%,"Alta",Q336&gt;20%,"Média",Q336&lt;20%,"Baixa")</f>
        <v>Alta</v>
      </c>
    </row>
    <row r="337" spans="1:18" x14ac:dyDescent="0.25">
      <c r="A337" s="5">
        <v>842</v>
      </c>
      <c r="B337" s="6">
        <v>45836</v>
      </c>
      <c r="C337" s="8" t="s">
        <v>24</v>
      </c>
      <c r="D337" s="8" t="s">
        <v>30</v>
      </c>
      <c r="E337" s="8" t="s">
        <v>41</v>
      </c>
      <c r="F337" s="5">
        <v>6532</v>
      </c>
      <c r="G337" s="8" t="s">
        <v>26</v>
      </c>
      <c r="H337" s="8" t="s">
        <v>27</v>
      </c>
      <c r="I337" s="5">
        <v>10</v>
      </c>
      <c r="J337" s="10">
        <v>3339</v>
      </c>
      <c r="K337" s="10">
        <v>33390</v>
      </c>
      <c r="L337" s="10">
        <v>13920.76</v>
      </c>
      <c r="M337" s="10">
        <v>19469.240000000002</v>
      </c>
      <c r="N337" s="8" t="s">
        <v>28</v>
      </c>
      <c r="O337" s="8" t="s">
        <v>33</v>
      </c>
      <c r="P337" s="8" t="s">
        <v>29</v>
      </c>
      <c r="Q337" s="3">
        <f t="shared" si="6"/>
        <v>0.58308595387840678</v>
      </c>
      <c r="R337" s="8" t="str" cm="1">
        <f t="array" ref="R337">_xlfn.IFS(Q337&gt;40%,"Alta",Q337&gt;20%,"Média",Q337&lt;20%,"Baixa")</f>
        <v>Alta</v>
      </c>
    </row>
    <row r="338" spans="1:18" x14ac:dyDescent="0.25">
      <c r="A338" s="5">
        <v>846</v>
      </c>
      <c r="B338" s="6">
        <v>45708</v>
      </c>
      <c r="C338" s="8" t="s">
        <v>16</v>
      </c>
      <c r="D338" s="8" t="s">
        <v>45</v>
      </c>
      <c r="E338" s="8" t="s">
        <v>25</v>
      </c>
      <c r="F338" s="5">
        <v>5760</v>
      </c>
      <c r="G338" s="8" t="s">
        <v>26</v>
      </c>
      <c r="H338" s="8" t="s">
        <v>20</v>
      </c>
      <c r="I338" s="5">
        <v>8</v>
      </c>
      <c r="J338" s="10">
        <v>4169</v>
      </c>
      <c r="K338" s="10">
        <v>33352</v>
      </c>
      <c r="L338" s="10">
        <v>22247.43</v>
      </c>
      <c r="M338" s="10">
        <v>11104.57</v>
      </c>
      <c r="N338" s="8" t="s">
        <v>32</v>
      </c>
      <c r="O338" s="8" t="s">
        <v>22</v>
      </c>
      <c r="P338" s="8" t="s">
        <v>40</v>
      </c>
      <c r="Q338" s="3">
        <f t="shared" si="6"/>
        <v>0.33295064763732307</v>
      </c>
      <c r="R338" s="8" t="str" cm="1">
        <f t="array" ref="R338">_xlfn.IFS(Q338&gt;40%,"Alta",Q338&gt;20%,"Média",Q338&lt;20%,"Baixa")</f>
        <v>Média</v>
      </c>
    </row>
    <row r="339" spans="1:18" x14ac:dyDescent="0.25">
      <c r="A339" s="5">
        <v>656</v>
      </c>
      <c r="B339" s="6">
        <v>45834</v>
      </c>
      <c r="C339" s="8" t="s">
        <v>24</v>
      </c>
      <c r="D339" s="8" t="s">
        <v>42</v>
      </c>
      <c r="E339" s="8" t="s">
        <v>37</v>
      </c>
      <c r="F339" s="5">
        <v>3823</v>
      </c>
      <c r="G339" s="8" t="s">
        <v>36</v>
      </c>
      <c r="H339" s="8" t="s">
        <v>43</v>
      </c>
      <c r="I339" s="5">
        <v>19</v>
      </c>
      <c r="J339" s="10">
        <v>1751</v>
      </c>
      <c r="K339" s="10">
        <v>33269</v>
      </c>
      <c r="L339" s="10">
        <v>15543.12</v>
      </c>
      <c r="M339" s="10">
        <v>17725.88</v>
      </c>
      <c r="N339" s="8" t="s">
        <v>32</v>
      </c>
      <c r="O339" s="8" t="s">
        <v>39</v>
      </c>
      <c r="P339" s="8" t="s">
        <v>29</v>
      </c>
      <c r="Q339" s="3">
        <f t="shared" si="6"/>
        <v>0.53280471309627586</v>
      </c>
      <c r="R339" s="8" t="str" cm="1">
        <f t="array" ref="R339">_xlfn.IFS(Q339&gt;40%,"Alta",Q339&gt;20%,"Média",Q339&lt;20%,"Baixa")</f>
        <v>Alta</v>
      </c>
    </row>
    <row r="340" spans="1:18" x14ac:dyDescent="0.25">
      <c r="A340" s="5">
        <v>432</v>
      </c>
      <c r="B340" s="6">
        <v>45714</v>
      </c>
      <c r="C340" s="8" t="s">
        <v>47</v>
      </c>
      <c r="D340" s="8" t="s">
        <v>17</v>
      </c>
      <c r="E340" s="8" t="s">
        <v>37</v>
      </c>
      <c r="F340" s="5">
        <v>8465</v>
      </c>
      <c r="G340" s="8" t="s">
        <v>26</v>
      </c>
      <c r="H340" s="8" t="s">
        <v>31</v>
      </c>
      <c r="I340" s="5">
        <v>14</v>
      </c>
      <c r="J340" s="10">
        <v>2373</v>
      </c>
      <c r="K340" s="10">
        <v>33222</v>
      </c>
      <c r="L340" s="10">
        <v>16924.61</v>
      </c>
      <c r="M340" s="10">
        <v>16297.39</v>
      </c>
      <c r="N340" s="8" t="s">
        <v>28</v>
      </c>
      <c r="O340" s="8" t="s">
        <v>22</v>
      </c>
      <c r="P340" s="8" t="s">
        <v>46</v>
      </c>
      <c r="Q340" s="3">
        <f t="shared" si="6"/>
        <v>0.49056017097104326</v>
      </c>
      <c r="R340" s="8" t="str" cm="1">
        <f t="array" ref="R340">_xlfn.IFS(Q340&gt;40%,"Alta",Q340&gt;20%,"Média",Q340&lt;20%,"Baixa")</f>
        <v>Alta</v>
      </c>
    </row>
    <row r="341" spans="1:18" x14ac:dyDescent="0.25">
      <c r="A341" s="5">
        <v>570</v>
      </c>
      <c r="B341" s="6">
        <v>45706</v>
      </c>
      <c r="C341" s="8" t="s">
        <v>16</v>
      </c>
      <c r="D341" s="8" t="s">
        <v>42</v>
      </c>
      <c r="E341" s="8" t="s">
        <v>41</v>
      </c>
      <c r="F341" s="5">
        <v>7264</v>
      </c>
      <c r="G341" s="8" t="s">
        <v>19</v>
      </c>
      <c r="H341" s="8" t="s">
        <v>31</v>
      </c>
      <c r="I341" s="5">
        <v>8</v>
      </c>
      <c r="J341" s="10">
        <v>4151</v>
      </c>
      <c r="K341" s="10">
        <v>33208</v>
      </c>
      <c r="L341" s="10">
        <v>19951.45</v>
      </c>
      <c r="M341" s="10">
        <v>13256.55</v>
      </c>
      <c r="N341" s="8" t="s">
        <v>28</v>
      </c>
      <c r="O341" s="8" t="s">
        <v>39</v>
      </c>
      <c r="P341" s="8" t="s">
        <v>46</v>
      </c>
      <c r="Q341" s="3">
        <f t="shared" si="6"/>
        <v>0.39919748253432907</v>
      </c>
      <c r="R341" s="8" t="str" cm="1">
        <f t="array" ref="R341">_xlfn.IFS(Q341&gt;40%,"Alta",Q341&gt;20%,"Média",Q341&lt;20%,"Baixa")</f>
        <v>Média</v>
      </c>
    </row>
    <row r="342" spans="1:18" x14ac:dyDescent="0.25">
      <c r="A342" s="5">
        <v>47</v>
      </c>
      <c r="B342" s="6">
        <v>45747</v>
      </c>
      <c r="C342" s="8" t="s">
        <v>16</v>
      </c>
      <c r="D342" s="8" t="s">
        <v>45</v>
      </c>
      <c r="E342" s="8" t="s">
        <v>18</v>
      </c>
      <c r="F342" s="5">
        <v>7053</v>
      </c>
      <c r="G342" s="8" t="s">
        <v>19</v>
      </c>
      <c r="H342" s="8" t="s">
        <v>38</v>
      </c>
      <c r="I342" s="5">
        <v>19</v>
      </c>
      <c r="J342" s="10">
        <v>1747</v>
      </c>
      <c r="K342" s="10">
        <v>33193</v>
      </c>
      <c r="L342" s="10">
        <v>25519.73</v>
      </c>
      <c r="M342" s="10">
        <v>7673.27</v>
      </c>
      <c r="N342" s="8" t="s">
        <v>28</v>
      </c>
      <c r="O342" s="8" t="s">
        <v>33</v>
      </c>
      <c r="P342" s="8" t="s">
        <v>40</v>
      </c>
      <c r="Q342" s="3">
        <f t="shared" si="6"/>
        <v>0.2311713313047932</v>
      </c>
      <c r="R342" s="8" t="str" cm="1">
        <f t="array" ref="R342">_xlfn.IFS(Q342&gt;40%,"Alta",Q342&gt;20%,"Média",Q342&lt;20%,"Baixa")</f>
        <v>Média</v>
      </c>
    </row>
    <row r="343" spans="1:18" x14ac:dyDescent="0.25">
      <c r="A343" s="5">
        <v>296</v>
      </c>
      <c r="B343" s="6">
        <v>45687</v>
      </c>
      <c r="C343" s="8" t="s">
        <v>34</v>
      </c>
      <c r="D343" s="8" t="s">
        <v>35</v>
      </c>
      <c r="E343" s="8" t="s">
        <v>25</v>
      </c>
      <c r="F343" s="5">
        <v>3324</v>
      </c>
      <c r="G343" s="8" t="s">
        <v>36</v>
      </c>
      <c r="H343" s="8" t="s">
        <v>43</v>
      </c>
      <c r="I343" s="5">
        <v>16</v>
      </c>
      <c r="J343" s="10">
        <v>2074</v>
      </c>
      <c r="K343" s="10">
        <v>33184</v>
      </c>
      <c r="L343" s="10">
        <v>21230.45</v>
      </c>
      <c r="M343" s="10">
        <v>11953.55</v>
      </c>
      <c r="N343" s="8" t="s">
        <v>32</v>
      </c>
      <c r="O343" s="8" t="s">
        <v>33</v>
      </c>
      <c r="P343" s="8" t="s">
        <v>40</v>
      </c>
      <c r="Q343" s="3">
        <f t="shared" si="6"/>
        <v>0.36022028688524588</v>
      </c>
      <c r="R343" s="8" t="str" cm="1">
        <f t="array" ref="R343">_xlfn.IFS(Q343&gt;40%,"Alta",Q343&gt;20%,"Média",Q343&lt;20%,"Baixa")</f>
        <v>Média</v>
      </c>
    </row>
    <row r="344" spans="1:18" x14ac:dyDescent="0.25">
      <c r="A344" s="5">
        <v>603</v>
      </c>
      <c r="B344" s="6">
        <v>45749</v>
      </c>
      <c r="C344" s="8" t="s">
        <v>24</v>
      </c>
      <c r="D344" s="8" t="s">
        <v>17</v>
      </c>
      <c r="E344" s="8" t="s">
        <v>37</v>
      </c>
      <c r="F344" s="5">
        <v>6033</v>
      </c>
      <c r="G344" s="8" t="s">
        <v>26</v>
      </c>
      <c r="H344" s="8" t="s">
        <v>31</v>
      </c>
      <c r="I344" s="5">
        <v>14</v>
      </c>
      <c r="J344" s="10">
        <v>2362</v>
      </c>
      <c r="K344" s="10">
        <v>33068</v>
      </c>
      <c r="L344" s="10">
        <v>14714.67</v>
      </c>
      <c r="M344" s="10">
        <v>18353.330000000002</v>
      </c>
      <c r="N344" s="8" t="s">
        <v>28</v>
      </c>
      <c r="O344" s="8" t="s">
        <v>33</v>
      </c>
      <c r="P344" s="8" t="s">
        <v>46</v>
      </c>
      <c r="Q344" s="3">
        <f t="shared" si="6"/>
        <v>0.55501784202249915</v>
      </c>
      <c r="R344" s="8" t="str" cm="1">
        <f t="array" ref="R344">_xlfn.IFS(Q344&gt;40%,"Alta",Q344&gt;20%,"Média",Q344&lt;20%,"Baixa")</f>
        <v>Alta</v>
      </c>
    </row>
    <row r="345" spans="1:18" x14ac:dyDescent="0.25">
      <c r="A345" s="5">
        <v>313</v>
      </c>
      <c r="B345" s="6">
        <v>45765</v>
      </c>
      <c r="C345" s="8" t="s">
        <v>16</v>
      </c>
      <c r="D345" s="8" t="s">
        <v>35</v>
      </c>
      <c r="E345" s="8" t="s">
        <v>41</v>
      </c>
      <c r="F345" s="5">
        <v>8634</v>
      </c>
      <c r="G345" s="8" t="s">
        <v>19</v>
      </c>
      <c r="H345" s="8" t="s">
        <v>27</v>
      </c>
      <c r="I345" s="5">
        <v>18</v>
      </c>
      <c r="J345" s="10">
        <v>1834</v>
      </c>
      <c r="K345" s="10">
        <v>33012</v>
      </c>
      <c r="L345" s="10">
        <v>19580.88</v>
      </c>
      <c r="M345" s="10">
        <v>13431.12</v>
      </c>
      <c r="N345" s="8" t="s">
        <v>21</v>
      </c>
      <c r="O345" s="8" t="s">
        <v>22</v>
      </c>
      <c r="P345" s="8" t="s">
        <v>23</v>
      </c>
      <c r="Q345" s="3">
        <f t="shared" si="6"/>
        <v>0.40685568884042167</v>
      </c>
      <c r="R345" s="8" t="str" cm="1">
        <f t="array" ref="R345">_xlfn.IFS(Q345&gt;40%,"Alta",Q345&gt;20%,"Média",Q345&lt;20%,"Baixa")</f>
        <v>Alta</v>
      </c>
    </row>
    <row r="346" spans="1:18" x14ac:dyDescent="0.25">
      <c r="A346" s="5">
        <v>649</v>
      </c>
      <c r="B346" s="6">
        <v>45663</v>
      </c>
      <c r="C346" s="8" t="s">
        <v>34</v>
      </c>
      <c r="D346" s="8" t="s">
        <v>42</v>
      </c>
      <c r="E346" s="8" t="s">
        <v>18</v>
      </c>
      <c r="F346" s="5">
        <v>4200</v>
      </c>
      <c r="G346" s="8" t="s">
        <v>26</v>
      </c>
      <c r="H346" s="8" t="s">
        <v>27</v>
      </c>
      <c r="I346" s="5">
        <v>12</v>
      </c>
      <c r="J346" s="10">
        <v>2751</v>
      </c>
      <c r="K346" s="10">
        <v>33012</v>
      </c>
      <c r="L346" s="10">
        <v>13572.27</v>
      </c>
      <c r="M346" s="10">
        <v>19439.73</v>
      </c>
      <c r="N346" s="8" t="s">
        <v>32</v>
      </c>
      <c r="O346" s="8" t="s">
        <v>22</v>
      </c>
      <c r="P346" s="8" t="s">
        <v>29</v>
      </c>
      <c r="Q346" s="3">
        <f t="shared" si="6"/>
        <v>0.58886859323882224</v>
      </c>
      <c r="R346" s="8" t="str" cm="1">
        <f t="array" ref="R346">_xlfn.IFS(Q346&gt;40%,"Alta",Q346&gt;20%,"Média",Q346&lt;20%,"Baixa")</f>
        <v>Alta</v>
      </c>
    </row>
    <row r="347" spans="1:18" x14ac:dyDescent="0.25">
      <c r="A347" s="5">
        <v>495</v>
      </c>
      <c r="B347" s="6">
        <v>45660</v>
      </c>
      <c r="C347" s="8" t="s">
        <v>16</v>
      </c>
      <c r="D347" s="8" t="s">
        <v>42</v>
      </c>
      <c r="E347" s="8" t="s">
        <v>41</v>
      </c>
      <c r="F347" s="5">
        <v>5633</v>
      </c>
      <c r="G347" s="8" t="s">
        <v>36</v>
      </c>
      <c r="H347" s="8" t="s">
        <v>27</v>
      </c>
      <c r="I347" s="5">
        <v>8</v>
      </c>
      <c r="J347" s="10">
        <v>4109</v>
      </c>
      <c r="K347" s="10">
        <v>32872</v>
      </c>
      <c r="L347" s="10">
        <v>14651.1</v>
      </c>
      <c r="M347" s="10">
        <v>18220.900000000001</v>
      </c>
      <c r="N347" s="8" t="s">
        <v>21</v>
      </c>
      <c r="O347" s="8" t="s">
        <v>22</v>
      </c>
      <c r="P347" s="8" t="s">
        <v>23</v>
      </c>
      <c r="Q347" s="3">
        <f t="shared" si="6"/>
        <v>0.5542984911170602</v>
      </c>
      <c r="R347" s="8" t="str" cm="1">
        <f t="array" ref="R347">_xlfn.IFS(Q347&gt;40%,"Alta",Q347&gt;20%,"Média",Q347&lt;20%,"Baixa")</f>
        <v>Alta</v>
      </c>
    </row>
    <row r="348" spans="1:18" x14ac:dyDescent="0.25">
      <c r="A348" s="5">
        <v>222</v>
      </c>
      <c r="B348" s="6">
        <v>45756</v>
      </c>
      <c r="C348" s="8" t="s">
        <v>24</v>
      </c>
      <c r="D348" s="8" t="s">
        <v>30</v>
      </c>
      <c r="E348" s="8" t="s">
        <v>37</v>
      </c>
      <c r="F348" s="5">
        <v>1833</v>
      </c>
      <c r="G348" s="8" t="s">
        <v>26</v>
      </c>
      <c r="H348" s="8" t="s">
        <v>43</v>
      </c>
      <c r="I348" s="5">
        <v>12</v>
      </c>
      <c r="J348" s="10">
        <v>2738</v>
      </c>
      <c r="K348" s="10">
        <v>32856</v>
      </c>
      <c r="L348" s="10">
        <v>26227.96</v>
      </c>
      <c r="M348" s="10">
        <v>6628.04</v>
      </c>
      <c r="N348" s="8" t="s">
        <v>32</v>
      </c>
      <c r="O348" s="8" t="s">
        <v>39</v>
      </c>
      <c r="P348" s="8" t="s">
        <v>46</v>
      </c>
      <c r="Q348" s="3">
        <f t="shared" si="6"/>
        <v>0.20172997321645969</v>
      </c>
      <c r="R348" s="8" t="str" cm="1">
        <f t="array" ref="R348">_xlfn.IFS(Q348&gt;40%,"Alta",Q348&gt;20%,"Média",Q348&lt;20%,"Baixa")</f>
        <v>Média</v>
      </c>
    </row>
    <row r="349" spans="1:18" x14ac:dyDescent="0.25">
      <c r="A349" s="5">
        <v>196</v>
      </c>
      <c r="B349" s="6">
        <v>45778</v>
      </c>
      <c r="C349" s="8" t="s">
        <v>47</v>
      </c>
      <c r="D349" s="8" t="s">
        <v>35</v>
      </c>
      <c r="E349" s="8" t="s">
        <v>25</v>
      </c>
      <c r="F349" s="5">
        <v>8684</v>
      </c>
      <c r="G349" s="8" t="s">
        <v>36</v>
      </c>
      <c r="H349" s="8" t="s">
        <v>38</v>
      </c>
      <c r="I349" s="5">
        <v>8</v>
      </c>
      <c r="J349" s="10">
        <v>4096</v>
      </c>
      <c r="K349" s="10">
        <v>32768</v>
      </c>
      <c r="L349" s="10">
        <v>19019.439999999999</v>
      </c>
      <c r="M349" s="10">
        <v>13748.56</v>
      </c>
      <c r="N349" s="8" t="s">
        <v>28</v>
      </c>
      <c r="O349" s="8" t="s">
        <v>39</v>
      </c>
      <c r="P349" s="8" t="s">
        <v>46</v>
      </c>
      <c r="Q349" s="3">
        <f t="shared" si="6"/>
        <v>0.41957275390624998</v>
      </c>
      <c r="R349" s="8" t="str" cm="1">
        <f t="array" ref="R349">_xlfn.IFS(Q349&gt;40%,"Alta",Q349&gt;20%,"Média",Q349&lt;20%,"Baixa")</f>
        <v>Alta</v>
      </c>
    </row>
    <row r="350" spans="1:18" x14ac:dyDescent="0.25">
      <c r="A350" s="5">
        <v>111</v>
      </c>
      <c r="B350" s="6">
        <v>45783</v>
      </c>
      <c r="C350" s="8" t="s">
        <v>34</v>
      </c>
      <c r="D350" s="8" t="s">
        <v>35</v>
      </c>
      <c r="E350" s="8" t="s">
        <v>25</v>
      </c>
      <c r="F350" s="5">
        <v>1001</v>
      </c>
      <c r="G350" s="8" t="s">
        <v>19</v>
      </c>
      <c r="H350" s="8" t="s">
        <v>38</v>
      </c>
      <c r="I350" s="5">
        <v>19</v>
      </c>
      <c r="J350" s="10">
        <v>1722</v>
      </c>
      <c r="K350" s="10">
        <v>32718</v>
      </c>
      <c r="L350" s="10">
        <v>20442.439999999999</v>
      </c>
      <c r="M350" s="10">
        <v>12275.56</v>
      </c>
      <c r="N350" s="8" t="s">
        <v>28</v>
      </c>
      <c r="O350" s="8" t="s">
        <v>39</v>
      </c>
      <c r="P350" s="8" t="s">
        <v>44</v>
      </c>
      <c r="Q350" s="3">
        <f t="shared" si="6"/>
        <v>0.37519286019927867</v>
      </c>
      <c r="R350" s="8" t="str" cm="1">
        <f t="array" ref="R350">_xlfn.IFS(Q350&gt;40%,"Alta",Q350&gt;20%,"Média",Q350&lt;20%,"Baixa")</f>
        <v>Média</v>
      </c>
    </row>
    <row r="351" spans="1:18" x14ac:dyDescent="0.25">
      <c r="A351" s="5">
        <v>828</v>
      </c>
      <c r="B351" s="6">
        <v>45826</v>
      </c>
      <c r="C351" s="8" t="s">
        <v>16</v>
      </c>
      <c r="D351" s="8" t="s">
        <v>17</v>
      </c>
      <c r="E351" s="8" t="s">
        <v>18</v>
      </c>
      <c r="F351" s="5">
        <v>3035</v>
      </c>
      <c r="G351" s="8" t="s">
        <v>26</v>
      </c>
      <c r="H351" s="8" t="s">
        <v>20</v>
      </c>
      <c r="I351" s="5">
        <v>10</v>
      </c>
      <c r="J351" s="10">
        <v>3266</v>
      </c>
      <c r="K351" s="10">
        <v>32660</v>
      </c>
      <c r="L351" s="10">
        <v>21354.73</v>
      </c>
      <c r="M351" s="10">
        <v>11305.27</v>
      </c>
      <c r="N351" s="8" t="s">
        <v>28</v>
      </c>
      <c r="O351" s="8" t="s">
        <v>39</v>
      </c>
      <c r="P351" s="8" t="s">
        <v>29</v>
      </c>
      <c r="Q351" s="3">
        <f t="shared" si="6"/>
        <v>0.34615033680342927</v>
      </c>
      <c r="R351" s="8" t="str" cm="1">
        <f t="array" ref="R351">_xlfn.IFS(Q351&gt;40%,"Alta",Q351&gt;20%,"Média",Q351&lt;20%,"Baixa")</f>
        <v>Média</v>
      </c>
    </row>
    <row r="352" spans="1:18" x14ac:dyDescent="0.25">
      <c r="A352" s="5">
        <v>791</v>
      </c>
      <c r="B352" s="6">
        <v>45727</v>
      </c>
      <c r="C352" s="8" t="s">
        <v>24</v>
      </c>
      <c r="D352" s="8" t="s">
        <v>30</v>
      </c>
      <c r="E352" s="8" t="s">
        <v>41</v>
      </c>
      <c r="F352" s="5">
        <v>8255</v>
      </c>
      <c r="G352" s="8" t="s">
        <v>26</v>
      </c>
      <c r="H352" s="8" t="s">
        <v>27</v>
      </c>
      <c r="I352" s="5">
        <v>9</v>
      </c>
      <c r="J352" s="10">
        <v>3616</v>
      </c>
      <c r="K352" s="10">
        <v>32544</v>
      </c>
      <c r="L352" s="10">
        <v>16125.79</v>
      </c>
      <c r="M352" s="10">
        <v>16418.21</v>
      </c>
      <c r="N352" s="8" t="s">
        <v>21</v>
      </c>
      <c r="O352" s="8" t="s">
        <v>22</v>
      </c>
      <c r="P352" s="8" t="s">
        <v>44</v>
      </c>
      <c r="Q352" s="3">
        <f t="shared" si="6"/>
        <v>0.50449268682399206</v>
      </c>
      <c r="R352" s="8" t="str" cm="1">
        <f t="array" ref="R352">_xlfn.IFS(Q352&gt;40%,"Alta",Q352&gt;20%,"Média",Q352&lt;20%,"Baixa")</f>
        <v>Alta</v>
      </c>
    </row>
    <row r="353" spans="1:18" x14ac:dyDescent="0.25">
      <c r="A353" s="5">
        <v>369</v>
      </c>
      <c r="B353" s="6">
        <v>45741</v>
      </c>
      <c r="C353" s="8" t="s">
        <v>47</v>
      </c>
      <c r="D353" s="8" t="s">
        <v>35</v>
      </c>
      <c r="E353" s="8" t="s">
        <v>41</v>
      </c>
      <c r="F353" s="5">
        <v>6707</v>
      </c>
      <c r="G353" s="8" t="s">
        <v>19</v>
      </c>
      <c r="H353" s="8" t="s">
        <v>20</v>
      </c>
      <c r="I353" s="5">
        <v>14</v>
      </c>
      <c r="J353" s="10">
        <v>2324</v>
      </c>
      <c r="K353" s="10">
        <v>32536</v>
      </c>
      <c r="L353" s="10">
        <v>17482.849999999999</v>
      </c>
      <c r="M353" s="10">
        <v>15053.15</v>
      </c>
      <c r="N353" s="8" t="s">
        <v>32</v>
      </c>
      <c r="O353" s="8" t="s">
        <v>39</v>
      </c>
      <c r="P353" s="8" t="s">
        <v>44</v>
      </c>
      <c r="Q353" s="3">
        <f t="shared" si="6"/>
        <v>0.46266135972461275</v>
      </c>
      <c r="R353" s="8" t="str" cm="1">
        <f t="array" ref="R353">_xlfn.IFS(Q353&gt;40%,"Alta",Q353&gt;20%,"Média",Q353&lt;20%,"Baixa")</f>
        <v>Alta</v>
      </c>
    </row>
    <row r="354" spans="1:18" x14ac:dyDescent="0.25">
      <c r="A354" s="5">
        <v>374</v>
      </c>
      <c r="B354" s="6">
        <v>45750</v>
      </c>
      <c r="C354" s="8" t="s">
        <v>34</v>
      </c>
      <c r="D354" s="8" t="s">
        <v>17</v>
      </c>
      <c r="E354" s="8" t="s">
        <v>18</v>
      </c>
      <c r="F354" s="5">
        <v>1432</v>
      </c>
      <c r="G354" s="8" t="s">
        <v>36</v>
      </c>
      <c r="H354" s="8" t="s">
        <v>31</v>
      </c>
      <c r="I354" s="5">
        <v>15</v>
      </c>
      <c r="J354" s="10">
        <v>2168</v>
      </c>
      <c r="K354" s="10">
        <v>32520</v>
      </c>
      <c r="L354" s="10">
        <v>19728.580000000002</v>
      </c>
      <c r="M354" s="10">
        <v>12791.42</v>
      </c>
      <c r="N354" s="8" t="s">
        <v>21</v>
      </c>
      <c r="O354" s="8" t="s">
        <v>22</v>
      </c>
      <c r="P354" s="8" t="s">
        <v>44</v>
      </c>
      <c r="Q354" s="3">
        <f t="shared" si="6"/>
        <v>0.393340098400984</v>
      </c>
      <c r="R354" s="8" t="str" cm="1">
        <f t="array" ref="R354">_xlfn.IFS(Q354&gt;40%,"Alta",Q354&gt;20%,"Média",Q354&lt;20%,"Baixa")</f>
        <v>Média</v>
      </c>
    </row>
    <row r="355" spans="1:18" x14ac:dyDescent="0.25">
      <c r="A355" s="5">
        <v>865</v>
      </c>
      <c r="B355" s="6">
        <v>45802</v>
      </c>
      <c r="C355" s="8" t="s">
        <v>47</v>
      </c>
      <c r="D355" s="8" t="s">
        <v>30</v>
      </c>
      <c r="E355" s="8" t="s">
        <v>41</v>
      </c>
      <c r="F355" s="5">
        <v>6976</v>
      </c>
      <c r="G355" s="8" t="s">
        <v>26</v>
      </c>
      <c r="H355" s="8" t="s">
        <v>20</v>
      </c>
      <c r="I355" s="5">
        <v>16</v>
      </c>
      <c r="J355" s="10">
        <v>2032</v>
      </c>
      <c r="K355" s="10">
        <v>32512</v>
      </c>
      <c r="L355" s="10">
        <v>19610.2</v>
      </c>
      <c r="M355" s="10">
        <v>12901.8</v>
      </c>
      <c r="N355" s="8" t="s">
        <v>32</v>
      </c>
      <c r="O355" s="8" t="s">
        <v>22</v>
      </c>
      <c r="P355" s="8" t="s">
        <v>44</v>
      </c>
      <c r="Q355" s="3">
        <f t="shared" si="6"/>
        <v>0.39683193897637792</v>
      </c>
      <c r="R355" s="8" t="str" cm="1">
        <f t="array" ref="R355">_xlfn.IFS(Q355&gt;40%,"Alta",Q355&gt;20%,"Média",Q355&lt;20%,"Baixa")</f>
        <v>Média</v>
      </c>
    </row>
    <row r="356" spans="1:18" x14ac:dyDescent="0.25">
      <c r="A356" s="5">
        <v>492</v>
      </c>
      <c r="B356" s="6">
        <v>45716</v>
      </c>
      <c r="C356" s="8" t="s">
        <v>47</v>
      </c>
      <c r="D356" s="8" t="s">
        <v>17</v>
      </c>
      <c r="E356" s="8" t="s">
        <v>25</v>
      </c>
      <c r="F356" s="5">
        <v>1616</v>
      </c>
      <c r="G356" s="8" t="s">
        <v>36</v>
      </c>
      <c r="H356" s="8" t="s">
        <v>20</v>
      </c>
      <c r="I356" s="5">
        <v>12</v>
      </c>
      <c r="J356" s="10">
        <v>2706</v>
      </c>
      <c r="K356" s="10">
        <v>32472</v>
      </c>
      <c r="L356" s="10">
        <v>25065.599999999999</v>
      </c>
      <c r="M356" s="10">
        <v>7406.4</v>
      </c>
      <c r="N356" s="8" t="s">
        <v>21</v>
      </c>
      <c r="O356" s="8" t="s">
        <v>39</v>
      </c>
      <c r="P356" s="8" t="s">
        <v>23</v>
      </c>
      <c r="Q356" s="3">
        <f t="shared" si="6"/>
        <v>0.22808573540280858</v>
      </c>
      <c r="R356" s="8" t="str" cm="1">
        <f t="array" ref="R356">_xlfn.IFS(Q356&gt;40%,"Alta",Q356&gt;20%,"Média",Q356&lt;20%,"Baixa")</f>
        <v>Média</v>
      </c>
    </row>
    <row r="357" spans="1:18" x14ac:dyDescent="0.25">
      <c r="A357" s="5">
        <v>756</v>
      </c>
      <c r="B357" s="6">
        <v>45667</v>
      </c>
      <c r="C357" s="8" t="s">
        <v>34</v>
      </c>
      <c r="D357" s="8" t="s">
        <v>30</v>
      </c>
      <c r="E357" s="8" t="s">
        <v>37</v>
      </c>
      <c r="F357" s="5">
        <v>4775</v>
      </c>
      <c r="G357" s="8" t="s">
        <v>26</v>
      </c>
      <c r="H357" s="8" t="s">
        <v>31</v>
      </c>
      <c r="I357" s="5">
        <v>9</v>
      </c>
      <c r="J357" s="10">
        <v>3601</v>
      </c>
      <c r="K357" s="10">
        <v>32409</v>
      </c>
      <c r="L357" s="10">
        <v>17651.349999999999</v>
      </c>
      <c r="M357" s="10">
        <v>14757.65</v>
      </c>
      <c r="N357" s="8" t="s">
        <v>21</v>
      </c>
      <c r="O357" s="8" t="s">
        <v>39</v>
      </c>
      <c r="P357" s="8" t="s">
        <v>29</v>
      </c>
      <c r="Q357" s="3">
        <f t="shared" si="6"/>
        <v>0.45535653676447901</v>
      </c>
      <c r="R357" s="8" t="str" cm="1">
        <f t="array" ref="R357">_xlfn.IFS(Q357&gt;40%,"Alta",Q357&gt;20%,"Média",Q357&lt;20%,"Baixa")</f>
        <v>Alta</v>
      </c>
    </row>
    <row r="358" spans="1:18" x14ac:dyDescent="0.25">
      <c r="A358" s="5">
        <v>290</v>
      </c>
      <c r="B358" s="6">
        <v>45713</v>
      </c>
      <c r="C358" s="8" t="s">
        <v>34</v>
      </c>
      <c r="D358" s="8" t="s">
        <v>30</v>
      </c>
      <c r="E358" s="8" t="s">
        <v>18</v>
      </c>
      <c r="F358" s="5">
        <v>2332</v>
      </c>
      <c r="G358" s="8" t="s">
        <v>36</v>
      </c>
      <c r="H358" s="8" t="s">
        <v>31</v>
      </c>
      <c r="I358" s="5">
        <v>13</v>
      </c>
      <c r="J358" s="10">
        <v>2491</v>
      </c>
      <c r="K358" s="10">
        <v>32383</v>
      </c>
      <c r="L358" s="10">
        <v>23607.99</v>
      </c>
      <c r="M358" s="10">
        <v>8775.01</v>
      </c>
      <c r="N358" s="8" t="s">
        <v>28</v>
      </c>
      <c r="O358" s="8" t="s">
        <v>39</v>
      </c>
      <c r="P358" s="8" t="s">
        <v>29</v>
      </c>
      <c r="Q358" s="3">
        <f t="shared" si="6"/>
        <v>0.27097582064663561</v>
      </c>
      <c r="R358" s="8" t="str" cm="1">
        <f t="array" ref="R358">_xlfn.IFS(Q358&gt;40%,"Alta",Q358&gt;20%,"Média",Q358&lt;20%,"Baixa")</f>
        <v>Média</v>
      </c>
    </row>
    <row r="359" spans="1:18" x14ac:dyDescent="0.25">
      <c r="A359" s="5">
        <v>125</v>
      </c>
      <c r="B359" s="6">
        <v>45742</v>
      </c>
      <c r="C359" s="8" t="s">
        <v>34</v>
      </c>
      <c r="D359" s="8" t="s">
        <v>35</v>
      </c>
      <c r="E359" s="8" t="s">
        <v>41</v>
      </c>
      <c r="F359" s="5">
        <v>2263</v>
      </c>
      <c r="G359" s="8" t="s">
        <v>26</v>
      </c>
      <c r="H359" s="8" t="s">
        <v>20</v>
      </c>
      <c r="I359" s="5">
        <v>12</v>
      </c>
      <c r="J359" s="10">
        <v>2694</v>
      </c>
      <c r="K359" s="10">
        <v>32328</v>
      </c>
      <c r="L359" s="10">
        <v>23562.19</v>
      </c>
      <c r="M359" s="10">
        <v>8765.81</v>
      </c>
      <c r="N359" s="8" t="s">
        <v>32</v>
      </c>
      <c r="O359" s="8" t="s">
        <v>33</v>
      </c>
      <c r="P359" s="8" t="s">
        <v>40</v>
      </c>
      <c r="Q359" s="3">
        <f t="shared" si="6"/>
        <v>0.27115225191784209</v>
      </c>
      <c r="R359" s="8" t="str" cm="1">
        <f t="array" ref="R359">_xlfn.IFS(Q359&gt;40%,"Alta",Q359&gt;20%,"Média",Q359&lt;20%,"Baixa")</f>
        <v>Média</v>
      </c>
    </row>
    <row r="360" spans="1:18" x14ac:dyDescent="0.25">
      <c r="A360" s="5">
        <v>239</v>
      </c>
      <c r="B360" s="6">
        <v>45762</v>
      </c>
      <c r="C360" s="8" t="s">
        <v>34</v>
      </c>
      <c r="D360" s="8" t="s">
        <v>30</v>
      </c>
      <c r="E360" s="8" t="s">
        <v>18</v>
      </c>
      <c r="F360" s="5">
        <v>8523</v>
      </c>
      <c r="G360" s="8" t="s">
        <v>26</v>
      </c>
      <c r="H360" s="8" t="s">
        <v>31</v>
      </c>
      <c r="I360" s="5">
        <v>11</v>
      </c>
      <c r="J360" s="10">
        <v>2935</v>
      </c>
      <c r="K360" s="10">
        <v>32285</v>
      </c>
      <c r="L360" s="10">
        <v>12985.12</v>
      </c>
      <c r="M360" s="10">
        <v>19299.88</v>
      </c>
      <c r="N360" s="8" t="s">
        <v>21</v>
      </c>
      <c r="O360" s="8" t="s">
        <v>22</v>
      </c>
      <c r="P360" s="8" t="s">
        <v>29</v>
      </c>
      <c r="Q360" s="3">
        <f t="shared" si="6"/>
        <v>0.59779711940529656</v>
      </c>
      <c r="R360" s="8" t="str" cm="1">
        <f t="array" ref="R360">_xlfn.IFS(Q360&gt;40%,"Alta",Q360&gt;20%,"Média",Q360&lt;20%,"Baixa")</f>
        <v>Alta</v>
      </c>
    </row>
    <row r="361" spans="1:18" x14ac:dyDescent="0.25">
      <c r="A361" s="5">
        <v>216</v>
      </c>
      <c r="B361" s="6">
        <v>45659</v>
      </c>
      <c r="C361" s="8" t="s">
        <v>34</v>
      </c>
      <c r="D361" s="8" t="s">
        <v>35</v>
      </c>
      <c r="E361" s="8" t="s">
        <v>18</v>
      </c>
      <c r="F361" s="5">
        <v>5835</v>
      </c>
      <c r="G361" s="8" t="s">
        <v>19</v>
      </c>
      <c r="H361" s="8" t="s">
        <v>38</v>
      </c>
      <c r="I361" s="5">
        <v>19</v>
      </c>
      <c r="J361" s="10">
        <v>1698</v>
      </c>
      <c r="K361" s="10">
        <v>32262</v>
      </c>
      <c r="L361" s="10">
        <v>19514.43</v>
      </c>
      <c r="M361" s="10">
        <v>12747.57</v>
      </c>
      <c r="N361" s="8" t="s">
        <v>32</v>
      </c>
      <c r="O361" s="8" t="s">
        <v>22</v>
      </c>
      <c r="P361" s="8" t="s">
        <v>44</v>
      </c>
      <c r="Q361" s="3">
        <f t="shared" si="6"/>
        <v>0.39512646457132228</v>
      </c>
      <c r="R361" s="8" t="str" cm="1">
        <f t="array" ref="R361">_xlfn.IFS(Q361&gt;40%,"Alta",Q361&gt;20%,"Média",Q361&lt;20%,"Baixa")</f>
        <v>Média</v>
      </c>
    </row>
    <row r="362" spans="1:18" x14ac:dyDescent="0.25">
      <c r="A362" s="5">
        <v>12</v>
      </c>
      <c r="B362" s="6">
        <v>45693</v>
      </c>
      <c r="C362" s="8" t="s">
        <v>24</v>
      </c>
      <c r="D362" s="8" t="s">
        <v>45</v>
      </c>
      <c r="E362" s="8" t="s">
        <v>25</v>
      </c>
      <c r="F362" s="5">
        <v>2390</v>
      </c>
      <c r="G362" s="8" t="s">
        <v>26</v>
      </c>
      <c r="H362" s="8" t="s">
        <v>43</v>
      </c>
      <c r="I362" s="5">
        <v>7</v>
      </c>
      <c r="J362" s="10">
        <v>4608</v>
      </c>
      <c r="K362" s="10">
        <v>32256</v>
      </c>
      <c r="L362" s="10">
        <v>19537.689999999999</v>
      </c>
      <c r="M362" s="10">
        <v>12718.31</v>
      </c>
      <c r="N362" s="8" t="s">
        <v>32</v>
      </c>
      <c r="O362" s="8" t="s">
        <v>22</v>
      </c>
      <c r="P362" s="8" t="s">
        <v>29</v>
      </c>
      <c r="Q362" s="3">
        <f t="shared" si="6"/>
        <v>0.3942928447420635</v>
      </c>
      <c r="R362" s="8" t="str" cm="1">
        <f t="array" ref="R362">_xlfn.IFS(Q362&gt;40%,"Alta",Q362&gt;20%,"Média",Q362&lt;20%,"Baixa")</f>
        <v>Média</v>
      </c>
    </row>
    <row r="363" spans="1:18" x14ac:dyDescent="0.25">
      <c r="A363" s="5">
        <v>977</v>
      </c>
      <c r="B363" s="6">
        <v>45715</v>
      </c>
      <c r="C363" s="8" t="s">
        <v>24</v>
      </c>
      <c r="D363" s="8" t="s">
        <v>42</v>
      </c>
      <c r="E363" s="8" t="s">
        <v>41</v>
      </c>
      <c r="F363" s="5">
        <v>6733</v>
      </c>
      <c r="G363" s="8" t="s">
        <v>36</v>
      </c>
      <c r="H363" s="8" t="s">
        <v>31</v>
      </c>
      <c r="I363" s="5">
        <v>16</v>
      </c>
      <c r="J363" s="10">
        <v>2016</v>
      </c>
      <c r="K363" s="10">
        <v>32256</v>
      </c>
      <c r="L363" s="10">
        <v>22900.18</v>
      </c>
      <c r="M363" s="10">
        <v>9355.82</v>
      </c>
      <c r="N363" s="8" t="s">
        <v>32</v>
      </c>
      <c r="O363" s="8" t="s">
        <v>22</v>
      </c>
      <c r="P363" s="8" t="s">
        <v>40</v>
      </c>
      <c r="Q363" s="3">
        <f t="shared" si="6"/>
        <v>0.29004898313492061</v>
      </c>
      <c r="R363" s="8" t="str" cm="1">
        <f t="array" ref="R363">_xlfn.IFS(Q363&gt;40%,"Alta",Q363&gt;20%,"Média",Q363&lt;20%,"Baixa")</f>
        <v>Média</v>
      </c>
    </row>
    <row r="364" spans="1:18" x14ac:dyDescent="0.25">
      <c r="A364" s="5">
        <v>742</v>
      </c>
      <c r="B364" s="6">
        <v>45750</v>
      </c>
      <c r="C364" s="8" t="s">
        <v>34</v>
      </c>
      <c r="D364" s="8" t="s">
        <v>45</v>
      </c>
      <c r="E364" s="8" t="s">
        <v>37</v>
      </c>
      <c r="F364" s="5">
        <v>4300</v>
      </c>
      <c r="G364" s="8" t="s">
        <v>19</v>
      </c>
      <c r="H364" s="8" t="s">
        <v>43</v>
      </c>
      <c r="I364" s="5">
        <v>16</v>
      </c>
      <c r="J364" s="10">
        <v>2013</v>
      </c>
      <c r="K364" s="10">
        <v>32208</v>
      </c>
      <c r="L364" s="10">
        <v>18294.63</v>
      </c>
      <c r="M364" s="10">
        <v>13913.37</v>
      </c>
      <c r="N364" s="8" t="s">
        <v>21</v>
      </c>
      <c r="O364" s="8" t="s">
        <v>22</v>
      </c>
      <c r="P364" s="8" t="s">
        <v>44</v>
      </c>
      <c r="Q364" s="3">
        <f t="shared" si="6"/>
        <v>0.43198491058122207</v>
      </c>
      <c r="R364" s="8" t="str" cm="1">
        <f t="array" ref="R364">_xlfn.IFS(Q364&gt;40%,"Alta",Q364&gt;20%,"Média",Q364&lt;20%,"Baixa")</f>
        <v>Alta</v>
      </c>
    </row>
    <row r="365" spans="1:18" x14ac:dyDescent="0.25">
      <c r="A365" s="5">
        <v>182</v>
      </c>
      <c r="B365" s="6">
        <v>45725</v>
      </c>
      <c r="C365" s="8" t="s">
        <v>16</v>
      </c>
      <c r="D365" s="8" t="s">
        <v>45</v>
      </c>
      <c r="E365" s="8" t="s">
        <v>41</v>
      </c>
      <c r="F365" s="5">
        <v>8658</v>
      </c>
      <c r="G365" s="8" t="s">
        <v>19</v>
      </c>
      <c r="H365" s="8" t="s">
        <v>38</v>
      </c>
      <c r="I365" s="5">
        <v>9</v>
      </c>
      <c r="J365" s="10">
        <v>3574</v>
      </c>
      <c r="K365" s="10">
        <v>32166</v>
      </c>
      <c r="L365" s="10">
        <v>15077.69</v>
      </c>
      <c r="M365" s="10">
        <v>17088.310000000001</v>
      </c>
      <c r="N365" s="8" t="s">
        <v>28</v>
      </c>
      <c r="O365" s="8" t="s">
        <v>39</v>
      </c>
      <c r="P365" s="8" t="s">
        <v>23</v>
      </c>
      <c r="Q365" s="3">
        <f t="shared" si="6"/>
        <v>0.53125380836908542</v>
      </c>
      <c r="R365" s="8" t="str" cm="1">
        <f t="array" ref="R365">_xlfn.IFS(Q365&gt;40%,"Alta",Q365&gt;20%,"Média",Q365&lt;20%,"Baixa")</f>
        <v>Alta</v>
      </c>
    </row>
    <row r="366" spans="1:18" x14ac:dyDescent="0.25">
      <c r="A366" s="5">
        <v>934</v>
      </c>
      <c r="B366" s="6">
        <v>45745</v>
      </c>
      <c r="C366" s="8" t="s">
        <v>24</v>
      </c>
      <c r="D366" s="8" t="s">
        <v>17</v>
      </c>
      <c r="E366" s="8" t="s">
        <v>18</v>
      </c>
      <c r="F366" s="5">
        <v>7360</v>
      </c>
      <c r="G366" s="8" t="s">
        <v>36</v>
      </c>
      <c r="H366" s="8" t="s">
        <v>31</v>
      </c>
      <c r="I366" s="5">
        <v>10</v>
      </c>
      <c r="J366" s="10">
        <v>3213</v>
      </c>
      <c r="K366" s="10">
        <v>32130</v>
      </c>
      <c r="L366" s="10">
        <v>23562.03</v>
      </c>
      <c r="M366" s="10">
        <v>8567.9699999999993</v>
      </c>
      <c r="N366" s="8" t="s">
        <v>21</v>
      </c>
      <c r="O366" s="8" t="s">
        <v>33</v>
      </c>
      <c r="P366" s="8" t="s">
        <v>29</v>
      </c>
      <c r="Q366" s="3">
        <f t="shared" si="6"/>
        <v>0.26666573295985058</v>
      </c>
      <c r="R366" s="8" t="str" cm="1">
        <f t="array" ref="R366">_xlfn.IFS(Q366&gt;40%,"Alta",Q366&gt;20%,"Média",Q366&lt;20%,"Baixa")</f>
        <v>Média</v>
      </c>
    </row>
    <row r="367" spans="1:18" x14ac:dyDescent="0.25">
      <c r="A367" s="5">
        <v>240</v>
      </c>
      <c r="B367" s="6">
        <v>45763</v>
      </c>
      <c r="C367" s="8" t="s">
        <v>24</v>
      </c>
      <c r="D367" s="8" t="s">
        <v>45</v>
      </c>
      <c r="E367" s="8" t="s">
        <v>37</v>
      </c>
      <c r="F367" s="5">
        <v>1867</v>
      </c>
      <c r="G367" s="8" t="s">
        <v>26</v>
      </c>
      <c r="H367" s="8" t="s">
        <v>27</v>
      </c>
      <c r="I367" s="5">
        <v>10</v>
      </c>
      <c r="J367" s="10">
        <v>3206</v>
      </c>
      <c r="K367" s="10">
        <v>32060</v>
      </c>
      <c r="L367" s="10">
        <v>14347.96</v>
      </c>
      <c r="M367" s="10">
        <v>17712.04</v>
      </c>
      <c r="N367" s="8" t="s">
        <v>21</v>
      </c>
      <c r="O367" s="8" t="s">
        <v>39</v>
      </c>
      <c r="P367" s="8" t="s">
        <v>46</v>
      </c>
      <c r="Q367" s="3">
        <f t="shared" si="6"/>
        <v>0.55246537741734247</v>
      </c>
      <c r="R367" s="8" t="str" cm="1">
        <f t="array" ref="R367">_xlfn.IFS(Q367&gt;40%,"Alta",Q367&gt;20%,"Média",Q367&lt;20%,"Baixa")</f>
        <v>Alta</v>
      </c>
    </row>
    <row r="368" spans="1:18" x14ac:dyDescent="0.25">
      <c r="A368" s="5">
        <v>16</v>
      </c>
      <c r="B368" s="6">
        <v>45815</v>
      </c>
      <c r="C368" s="8" t="s">
        <v>16</v>
      </c>
      <c r="D368" s="8" t="s">
        <v>30</v>
      </c>
      <c r="E368" s="8" t="s">
        <v>18</v>
      </c>
      <c r="F368" s="5">
        <v>7852</v>
      </c>
      <c r="G368" s="8" t="s">
        <v>19</v>
      </c>
      <c r="H368" s="8" t="s">
        <v>20</v>
      </c>
      <c r="I368" s="5">
        <v>9</v>
      </c>
      <c r="J368" s="10">
        <v>3555</v>
      </c>
      <c r="K368" s="10">
        <v>31995</v>
      </c>
      <c r="L368" s="10">
        <v>15229.31</v>
      </c>
      <c r="M368" s="10">
        <v>16765.689999999999</v>
      </c>
      <c r="N368" s="8" t="s">
        <v>21</v>
      </c>
      <c r="O368" s="8" t="s">
        <v>22</v>
      </c>
      <c r="P368" s="8" t="s">
        <v>29</v>
      </c>
      <c r="Q368" s="3">
        <f t="shared" si="6"/>
        <v>0.52400968901390843</v>
      </c>
      <c r="R368" s="8" t="str" cm="1">
        <f t="array" ref="R368">_xlfn.IFS(Q368&gt;40%,"Alta",Q368&gt;20%,"Média",Q368&lt;20%,"Baixa")</f>
        <v>Alta</v>
      </c>
    </row>
    <row r="369" spans="1:18" x14ac:dyDescent="0.25">
      <c r="A369" s="5">
        <v>29</v>
      </c>
      <c r="B369" s="6">
        <v>45677</v>
      </c>
      <c r="C369" s="8" t="s">
        <v>47</v>
      </c>
      <c r="D369" s="8" t="s">
        <v>45</v>
      </c>
      <c r="E369" s="8" t="s">
        <v>18</v>
      </c>
      <c r="F369" s="5">
        <v>9808</v>
      </c>
      <c r="G369" s="8" t="s">
        <v>19</v>
      </c>
      <c r="H369" s="8" t="s">
        <v>31</v>
      </c>
      <c r="I369" s="5">
        <v>15</v>
      </c>
      <c r="J369" s="10">
        <v>2131</v>
      </c>
      <c r="K369" s="10">
        <v>31965</v>
      </c>
      <c r="L369" s="10">
        <v>24567.58</v>
      </c>
      <c r="M369" s="10">
        <v>7397.42</v>
      </c>
      <c r="N369" s="8" t="s">
        <v>32</v>
      </c>
      <c r="O369" s="8" t="s">
        <v>39</v>
      </c>
      <c r="P369" s="8" t="s">
        <v>29</v>
      </c>
      <c r="Q369" s="3">
        <f t="shared" si="6"/>
        <v>0.23142249335210385</v>
      </c>
      <c r="R369" s="8" t="str" cm="1">
        <f t="array" ref="R369">_xlfn.IFS(Q369&gt;40%,"Alta",Q369&gt;20%,"Média",Q369&lt;20%,"Baixa")</f>
        <v>Média</v>
      </c>
    </row>
    <row r="370" spans="1:18" x14ac:dyDescent="0.25">
      <c r="A370" s="5">
        <v>71</v>
      </c>
      <c r="B370" s="6">
        <v>45821</v>
      </c>
      <c r="C370" s="8" t="s">
        <v>16</v>
      </c>
      <c r="D370" s="8" t="s">
        <v>45</v>
      </c>
      <c r="E370" s="8" t="s">
        <v>18</v>
      </c>
      <c r="F370" s="5">
        <v>7445</v>
      </c>
      <c r="G370" s="8" t="s">
        <v>26</v>
      </c>
      <c r="H370" s="8" t="s">
        <v>27</v>
      </c>
      <c r="I370" s="5">
        <v>18</v>
      </c>
      <c r="J370" s="10">
        <v>1774</v>
      </c>
      <c r="K370" s="10">
        <v>31932</v>
      </c>
      <c r="L370" s="10">
        <v>16323.49</v>
      </c>
      <c r="M370" s="10">
        <v>15608.51</v>
      </c>
      <c r="N370" s="8" t="s">
        <v>32</v>
      </c>
      <c r="O370" s="8" t="s">
        <v>22</v>
      </c>
      <c r="P370" s="8" t="s">
        <v>29</v>
      </c>
      <c r="Q370" s="3">
        <f t="shared" si="6"/>
        <v>0.48880464737567331</v>
      </c>
      <c r="R370" s="8" t="str" cm="1">
        <f t="array" ref="R370">_xlfn.IFS(Q370&gt;40%,"Alta",Q370&gt;20%,"Média",Q370&lt;20%,"Baixa")</f>
        <v>Alta</v>
      </c>
    </row>
    <row r="371" spans="1:18" x14ac:dyDescent="0.25">
      <c r="A371" s="5">
        <v>906</v>
      </c>
      <c r="B371" s="6">
        <v>45750</v>
      </c>
      <c r="C371" s="8" t="s">
        <v>34</v>
      </c>
      <c r="D371" s="8" t="s">
        <v>17</v>
      </c>
      <c r="E371" s="8" t="s">
        <v>41</v>
      </c>
      <c r="F371" s="5">
        <v>3617</v>
      </c>
      <c r="G371" s="8" t="s">
        <v>26</v>
      </c>
      <c r="H371" s="8" t="s">
        <v>27</v>
      </c>
      <c r="I371" s="5">
        <v>7</v>
      </c>
      <c r="J371" s="10">
        <v>4558</v>
      </c>
      <c r="K371" s="10">
        <v>31906</v>
      </c>
      <c r="L371" s="10">
        <v>15145.99</v>
      </c>
      <c r="M371" s="10">
        <v>16760.009999999998</v>
      </c>
      <c r="N371" s="8" t="s">
        <v>21</v>
      </c>
      <c r="O371" s="8" t="s">
        <v>22</v>
      </c>
      <c r="P371" s="8" t="s">
        <v>29</v>
      </c>
      <c r="Q371" s="3">
        <f t="shared" si="6"/>
        <v>0.52529336175014096</v>
      </c>
      <c r="R371" s="8" t="str" cm="1">
        <f t="array" ref="R371">_xlfn.IFS(Q371&gt;40%,"Alta",Q371&gt;20%,"Média",Q371&lt;20%,"Baixa")</f>
        <v>Alta</v>
      </c>
    </row>
    <row r="372" spans="1:18" x14ac:dyDescent="0.25">
      <c r="A372" s="5">
        <v>879</v>
      </c>
      <c r="B372" s="6">
        <v>45744</v>
      </c>
      <c r="C372" s="8" t="s">
        <v>24</v>
      </c>
      <c r="D372" s="8" t="s">
        <v>35</v>
      </c>
      <c r="E372" s="8" t="s">
        <v>37</v>
      </c>
      <c r="F372" s="5">
        <v>6954</v>
      </c>
      <c r="G372" s="8" t="s">
        <v>19</v>
      </c>
      <c r="H372" s="8" t="s">
        <v>20</v>
      </c>
      <c r="I372" s="5">
        <v>19</v>
      </c>
      <c r="J372" s="10">
        <v>1679</v>
      </c>
      <c r="K372" s="10">
        <v>31901</v>
      </c>
      <c r="L372" s="10">
        <v>22040.17</v>
      </c>
      <c r="M372" s="10">
        <v>9860.83</v>
      </c>
      <c r="N372" s="8" t="s">
        <v>28</v>
      </c>
      <c r="O372" s="8" t="s">
        <v>33</v>
      </c>
      <c r="P372" s="8" t="s">
        <v>40</v>
      </c>
      <c r="Q372" s="3">
        <f t="shared" si="6"/>
        <v>0.30910723801761703</v>
      </c>
      <c r="R372" s="8" t="str" cm="1">
        <f t="array" ref="R372">_xlfn.IFS(Q372&gt;40%,"Alta",Q372&gt;20%,"Média",Q372&lt;20%,"Baixa")</f>
        <v>Média</v>
      </c>
    </row>
    <row r="373" spans="1:18" x14ac:dyDescent="0.25">
      <c r="A373" s="5">
        <v>985</v>
      </c>
      <c r="B373" s="6">
        <v>45712</v>
      </c>
      <c r="C373" s="8" t="s">
        <v>24</v>
      </c>
      <c r="D373" s="8" t="s">
        <v>42</v>
      </c>
      <c r="E373" s="8" t="s">
        <v>18</v>
      </c>
      <c r="F373" s="5">
        <v>2982</v>
      </c>
      <c r="G373" s="8" t="s">
        <v>26</v>
      </c>
      <c r="H373" s="8" t="s">
        <v>20</v>
      </c>
      <c r="I373" s="5">
        <v>12</v>
      </c>
      <c r="J373" s="10">
        <v>2653</v>
      </c>
      <c r="K373" s="10">
        <v>31836</v>
      </c>
      <c r="L373" s="10">
        <v>18316.63</v>
      </c>
      <c r="M373" s="10">
        <v>13519.37</v>
      </c>
      <c r="N373" s="8" t="s">
        <v>32</v>
      </c>
      <c r="O373" s="8" t="s">
        <v>39</v>
      </c>
      <c r="P373" s="8" t="s">
        <v>44</v>
      </c>
      <c r="Q373" s="3">
        <f t="shared" si="6"/>
        <v>0.42465667797461998</v>
      </c>
      <c r="R373" s="8" t="str" cm="1">
        <f t="array" ref="R373">_xlfn.IFS(Q373&gt;40%,"Alta",Q373&gt;20%,"Média",Q373&lt;20%,"Baixa")</f>
        <v>Alta</v>
      </c>
    </row>
    <row r="374" spans="1:18" x14ac:dyDescent="0.25">
      <c r="A374" s="5">
        <v>158</v>
      </c>
      <c r="B374" s="6">
        <v>45815</v>
      </c>
      <c r="C374" s="8" t="s">
        <v>34</v>
      </c>
      <c r="D374" s="8" t="s">
        <v>17</v>
      </c>
      <c r="E374" s="8" t="s">
        <v>25</v>
      </c>
      <c r="F374" s="5">
        <v>1906</v>
      </c>
      <c r="G374" s="8" t="s">
        <v>36</v>
      </c>
      <c r="H374" s="8" t="s">
        <v>31</v>
      </c>
      <c r="I374" s="5">
        <v>16</v>
      </c>
      <c r="J374" s="10">
        <v>1989</v>
      </c>
      <c r="K374" s="10">
        <v>31824</v>
      </c>
      <c r="L374" s="10">
        <v>21498.16</v>
      </c>
      <c r="M374" s="10">
        <v>10325.84</v>
      </c>
      <c r="N374" s="8" t="s">
        <v>21</v>
      </c>
      <c r="O374" s="8" t="s">
        <v>33</v>
      </c>
      <c r="P374" s="8" t="s">
        <v>40</v>
      </c>
      <c r="Q374" s="3">
        <f t="shared" si="6"/>
        <v>0.32446706887883359</v>
      </c>
      <c r="R374" s="8" t="str" cm="1">
        <f t="array" ref="R374">_xlfn.IFS(Q374&gt;40%,"Alta",Q374&gt;20%,"Média",Q374&lt;20%,"Baixa")</f>
        <v>Média</v>
      </c>
    </row>
    <row r="375" spans="1:18" x14ac:dyDescent="0.25">
      <c r="A375" s="5">
        <v>309</v>
      </c>
      <c r="B375" s="6">
        <v>45708</v>
      </c>
      <c r="C375" s="8" t="s">
        <v>24</v>
      </c>
      <c r="D375" s="8" t="s">
        <v>17</v>
      </c>
      <c r="E375" s="8" t="s">
        <v>18</v>
      </c>
      <c r="F375" s="5">
        <v>6922</v>
      </c>
      <c r="G375" s="8" t="s">
        <v>26</v>
      </c>
      <c r="H375" s="8" t="s">
        <v>43</v>
      </c>
      <c r="I375" s="5">
        <v>12</v>
      </c>
      <c r="J375" s="10">
        <v>2597</v>
      </c>
      <c r="K375" s="10">
        <v>31164</v>
      </c>
      <c r="L375" s="10">
        <v>19520.5</v>
      </c>
      <c r="M375" s="10">
        <v>11643.5</v>
      </c>
      <c r="N375" s="8" t="s">
        <v>21</v>
      </c>
      <c r="O375" s="8" t="s">
        <v>39</v>
      </c>
      <c r="P375" s="8" t="s">
        <v>44</v>
      </c>
      <c r="Q375" s="3">
        <f t="shared" si="6"/>
        <v>0.37362020279810038</v>
      </c>
      <c r="R375" s="8" t="str" cm="1">
        <f t="array" ref="R375">_xlfn.IFS(Q375&gt;40%,"Alta",Q375&gt;20%,"Média",Q375&lt;20%,"Baixa")</f>
        <v>Média</v>
      </c>
    </row>
    <row r="376" spans="1:18" x14ac:dyDescent="0.25">
      <c r="A376" s="5">
        <v>670</v>
      </c>
      <c r="B376" s="6">
        <v>45750</v>
      </c>
      <c r="C376" s="8" t="s">
        <v>16</v>
      </c>
      <c r="D376" s="8" t="s">
        <v>45</v>
      </c>
      <c r="E376" s="8" t="s">
        <v>41</v>
      </c>
      <c r="F376" s="5">
        <v>4746</v>
      </c>
      <c r="G376" s="8" t="s">
        <v>19</v>
      </c>
      <c r="H376" s="8" t="s">
        <v>43</v>
      </c>
      <c r="I376" s="5">
        <v>8</v>
      </c>
      <c r="J376" s="10">
        <v>3890</v>
      </c>
      <c r="K376" s="10">
        <v>31120</v>
      </c>
      <c r="L376" s="10">
        <v>19632.16</v>
      </c>
      <c r="M376" s="10">
        <v>11487.84</v>
      </c>
      <c r="N376" s="8" t="s">
        <v>32</v>
      </c>
      <c r="O376" s="8" t="s">
        <v>33</v>
      </c>
      <c r="P376" s="8" t="s">
        <v>40</v>
      </c>
      <c r="Q376" s="3">
        <f t="shared" si="6"/>
        <v>0.369146529562982</v>
      </c>
      <c r="R376" s="8" t="str" cm="1">
        <f t="array" ref="R376">_xlfn.IFS(Q376&gt;40%,"Alta",Q376&gt;20%,"Média",Q376&lt;20%,"Baixa")</f>
        <v>Média</v>
      </c>
    </row>
    <row r="377" spans="1:18" x14ac:dyDescent="0.25">
      <c r="A377" s="5">
        <v>175</v>
      </c>
      <c r="B377" s="6">
        <v>45736</v>
      </c>
      <c r="C377" s="8" t="s">
        <v>34</v>
      </c>
      <c r="D377" s="8" t="s">
        <v>42</v>
      </c>
      <c r="E377" s="8" t="s">
        <v>25</v>
      </c>
      <c r="F377" s="5">
        <v>3123</v>
      </c>
      <c r="G377" s="8" t="s">
        <v>36</v>
      </c>
      <c r="H377" s="8" t="s">
        <v>31</v>
      </c>
      <c r="I377" s="5">
        <v>14</v>
      </c>
      <c r="J377" s="10">
        <v>2215</v>
      </c>
      <c r="K377" s="10">
        <v>31010</v>
      </c>
      <c r="L377" s="10">
        <v>24388.31</v>
      </c>
      <c r="M377" s="10">
        <v>6621.69</v>
      </c>
      <c r="N377" s="8" t="s">
        <v>21</v>
      </c>
      <c r="O377" s="8" t="s">
        <v>22</v>
      </c>
      <c r="P377" s="8" t="s">
        <v>23</v>
      </c>
      <c r="Q377" s="3">
        <f t="shared" si="6"/>
        <v>0.21353402128345694</v>
      </c>
      <c r="R377" s="8" t="str" cm="1">
        <f t="array" ref="R377">_xlfn.IFS(Q377&gt;40%,"Alta",Q377&gt;20%,"Média",Q377&lt;20%,"Baixa")</f>
        <v>Média</v>
      </c>
    </row>
    <row r="378" spans="1:18" x14ac:dyDescent="0.25">
      <c r="A378" s="5">
        <v>24</v>
      </c>
      <c r="B378" s="6">
        <v>45805</v>
      </c>
      <c r="C378" s="8" t="s">
        <v>16</v>
      </c>
      <c r="D378" s="8" t="s">
        <v>35</v>
      </c>
      <c r="E378" s="8" t="s">
        <v>37</v>
      </c>
      <c r="F378" s="5">
        <v>6576</v>
      </c>
      <c r="G378" s="8" t="s">
        <v>19</v>
      </c>
      <c r="H378" s="8" t="s">
        <v>31</v>
      </c>
      <c r="I378" s="5">
        <v>12</v>
      </c>
      <c r="J378" s="10">
        <v>2579</v>
      </c>
      <c r="K378" s="10">
        <v>30948</v>
      </c>
      <c r="L378" s="10">
        <v>14187.51</v>
      </c>
      <c r="M378" s="10">
        <v>16760.490000000002</v>
      </c>
      <c r="N378" s="8" t="s">
        <v>21</v>
      </c>
      <c r="O378" s="8" t="s">
        <v>39</v>
      </c>
      <c r="P378" s="8" t="s">
        <v>40</v>
      </c>
      <c r="Q378" s="3">
        <f t="shared" si="6"/>
        <v>0.5415694067468011</v>
      </c>
      <c r="R378" s="8" t="str" cm="1">
        <f t="array" ref="R378">_xlfn.IFS(Q378&gt;40%,"Alta",Q378&gt;20%,"Média",Q378&lt;20%,"Baixa")</f>
        <v>Alta</v>
      </c>
    </row>
    <row r="379" spans="1:18" x14ac:dyDescent="0.25">
      <c r="A379" s="5">
        <v>48</v>
      </c>
      <c r="B379" s="6">
        <v>45804</v>
      </c>
      <c r="C379" s="8" t="s">
        <v>16</v>
      </c>
      <c r="D379" s="8" t="s">
        <v>42</v>
      </c>
      <c r="E379" s="8" t="s">
        <v>25</v>
      </c>
      <c r="F379" s="5">
        <v>5766</v>
      </c>
      <c r="G379" s="8" t="s">
        <v>36</v>
      </c>
      <c r="H379" s="8" t="s">
        <v>43</v>
      </c>
      <c r="I379" s="5">
        <v>7</v>
      </c>
      <c r="J379" s="10">
        <v>4394</v>
      </c>
      <c r="K379" s="10">
        <v>30758</v>
      </c>
      <c r="L379" s="10">
        <v>24251.53</v>
      </c>
      <c r="M379" s="10">
        <v>6506.47</v>
      </c>
      <c r="N379" s="8" t="s">
        <v>28</v>
      </c>
      <c r="O379" s="8" t="s">
        <v>33</v>
      </c>
      <c r="P379" s="8" t="s">
        <v>40</v>
      </c>
      <c r="Q379" s="3">
        <f t="shared" si="6"/>
        <v>0.2115374861824566</v>
      </c>
      <c r="R379" s="8" t="str" cm="1">
        <f t="array" ref="R379">_xlfn.IFS(Q379&gt;40%,"Alta",Q379&gt;20%,"Média",Q379&lt;20%,"Baixa")</f>
        <v>Média</v>
      </c>
    </row>
    <row r="380" spans="1:18" x14ac:dyDescent="0.25">
      <c r="A380" s="5">
        <v>377</v>
      </c>
      <c r="B380" s="6">
        <v>45736</v>
      </c>
      <c r="C380" s="8" t="s">
        <v>34</v>
      </c>
      <c r="D380" s="8" t="s">
        <v>30</v>
      </c>
      <c r="E380" s="8" t="s">
        <v>37</v>
      </c>
      <c r="F380" s="5">
        <v>2898</v>
      </c>
      <c r="G380" s="8" t="s">
        <v>19</v>
      </c>
      <c r="H380" s="8" t="s">
        <v>43</v>
      </c>
      <c r="I380" s="5">
        <v>12</v>
      </c>
      <c r="J380" s="10">
        <v>2560</v>
      </c>
      <c r="K380" s="10">
        <v>30720</v>
      </c>
      <c r="L380" s="10">
        <v>23662.23</v>
      </c>
      <c r="M380" s="10">
        <v>7057.77</v>
      </c>
      <c r="N380" s="8" t="s">
        <v>32</v>
      </c>
      <c r="O380" s="8" t="s">
        <v>22</v>
      </c>
      <c r="P380" s="8" t="s">
        <v>46</v>
      </c>
      <c r="Q380" s="3">
        <f t="shared" si="6"/>
        <v>0.22974511718750001</v>
      </c>
      <c r="R380" s="8" t="str" cm="1">
        <f t="array" ref="R380">_xlfn.IFS(Q380&gt;40%,"Alta",Q380&gt;20%,"Média",Q380&lt;20%,"Baixa")</f>
        <v>Média</v>
      </c>
    </row>
    <row r="381" spans="1:18" x14ac:dyDescent="0.25">
      <c r="A381" s="5">
        <v>553</v>
      </c>
      <c r="B381" s="6">
        <v>45821</v>
      </c>
      <c r="C381" s="8" t="s">
        <v>24</v>
      </c>
      <c r="D381" s="8" t="s">
        <v>30</v>
      </c>
      <c r="E381" s="8" t="s">
        <v>25</v>
      </c>
      <c r="F381" s="5">
        <v>2189</v>
      </c>
      <c r="G381" s="8" t="s">
        <v>26</v>
      </c>
      <c r="H381" s="8" t="s">
        <v>27</v>
      </c>
      <c r="I381" s="5">
        <v>10</v>
      </c>
      <c r="J381" s="10">
        <v>3051</v>
      </c>
      <c r="K381" s="10">
        <v>30510</v>
      </c>
      <c r="L381" s="10">
        <v>19211.310000000001</v>
      </c>
      <c r="M381" s="10">
        <v>11298.69</v>
      </c>
      <c r="N381" s="8" t="s">
        <v>32</v>
      </c>
      <c r="O381" s="8" t="s">
        <v>33</v>
      </c>
      <c r="P381" s="8" t="s">
        <v>46</v>
      </c>
      <c r="Q381" s="3">
        <f t="shared" si="6"/>
        <v>0.3703274336283186</v>
      </c>
      <c r="R381" s="8" t="str" cm="1">
        <f t="array" ref="R381">_xlfn.IFS(Q381&gt;40%,"Alta",Q381&gt;20%,"Média",Q381&lt;20%,"Baixa")</f>
        <v>Média</v>
      </c>
    </row>
    <row r="382" spans="1:18" x14ac:dyDescent="0.25">
      <c r="A382" s="5">
        <v>805</v>
      </c>
      <c r="B382" s="6">
        <v>45790</v>
      </c>
      <c r="C382" s="8" t="s">
        <v>24</v>
      </c>
      <c r="D382" s="8" t="s">
        <v>42</v>
      </c>
      <c r="E382" s="8" t="s">
        <v>37</v>
      </c>
      <c r="F382" s="5">
        <v>7461</v>
      </c>
      <c r="G382" s="8" t="s">
        <v>19</v>
      </c>
      <c r="H382" s="8" t="s">
        <v>27</v>
      </c>
      <c r="I382" s="5">
        <v>9</v>
      </c>
      <c r="J382" s="10">
        <v>3390</v>
      </c>
      <c r="K382" s="10">
        <v>30510</v>
      </c>
      <c r="L382" s="10">
        <v>17178.650000000001</v>
      </c>
      <c r="M382" s="10">
        <v>13331.35</v>
      </c>
      <c r="N382" s="8" t="s">
        <v>21</v>
      </c>
      <c r="O382" s="8" t="s">
        <v>39</v>
      </c>
      <c r="P382" s="8" t="s">
        <v>46</v>
      </c>
      <c r="Q382" s="3">
        <f t="shared" si="6"/>
        <v>0.43695018026876437</v>
      </c>
      <c r="R382" s="8" t="str" cm="1">
        <f t="array" ref="R382">_xlfn.IFS(Q382&gt;40%,"Alta",Q382&gt;20%,"Média",Q382&lt;20%,"Baixa")</f>
        <v>Alta</v>
      </c>
    </row>
    <row r="383" spans="1:18" x14ac:dyDescent="0.25">
      <c r="A383" s="5">
        <v>136</v>
      </c>
      <c r="B383" s="6">
        <v>45689</v>
      </c>
      <c r="C383" s="8" t="s">
        <v>47</v>
      </c>
      <c r="D383" s="8" t="s">
        <v>35</v>
      </c>
      <c r="E383" s="8" t="s">
        <v>25</v>
      </c>
      <c r="F383" s="5">
        <v>7741</v>
      </c>
      <c r="G383" s="8" t="s">
        <v>36</v>
      </c>
      <c r="H383" s="8" t="s">
        <v>20</v>
      </c>
      <c r="I383" s="5">
        <v>11</v>
      </c>
      <c r="J383" s="10">
        <v>2766</v>
      </c>
      <c r="K383" s="10">
        <v>30426</v>
      </c>
      <c r="L383" s="10">
        <v>20928.11</v>
      </c>
      <c r="M383" s="10">
        <v>9497.89</v>
      </c>
      <c r="N383" s="8" t="s">
        <v>28</v>
      </c>
      <c r="O383" s="8" t="s">
        <v>33</v>
      </c>
      <c r="P383" s="8" t="s">
        <v>23</v>
      </c>
      <c r="Q383" s="3">
        <f t="shared" si="6"/>
        <v>0.31216361007033455</v>
      </c>
      <c r="R383" s="8" t="str" cm="1">
        <f t="array" ref="R383">_xlfn.IFS(Q383&gt;40%,"Alta",Q383&gt;20%,"Média",Q383&lt;20%,"Baixa")</f>
        <v>Média</v>
      </c>
    </row>
    <row r="384" spans="1:18" x14ac:dyDescent="0.25">
      <c r="A384" s="5">
        <v>922</v>
      </c>
      <c r="B384" s="6">
        <v>45762</v>
      </c>
      <c r="C384" s="8" t="s">
        <v>24</v>
      </c>
      <c r="D384" s="8" t="s">
        <v>45</v>
      </c>
      <c r="E384" s="8" t="s">
        <v>37</v>
      </c>
      <c r="F384" s="5">
        <v>6362</v>
      </c>
      <c r="G384" s="8" t="s">
        <v>36</v>
      </c>
      <c r="H384" s="8" t="s">
        <v>27</v>
      </c>
      <c r="I384" s="5">
        <v>18</v>
      </c>
      <c r="J384" s="10">
        <v>1688</v>
      </c>
      <c r="K384" s="10">
        <v>30384</v>
      </c>
      <c r="L384" s="10">
        <v>18354.25</v>
      </c>
      <c r="M384" s="10">
        <v>12029.75</v>
      </c>
      <c r="N384" s="8" t="s">
        <v>21</v>
      </c>
      <c r="O384" s="8" t="s">
        <v>39</v>
      </c>
      <c r="P384" s="8" t="s">
        <v>46</v>
      </c>
      <c r="Q384" s="3">
        <f t="shared" si="6"/>
        <v>0.39592384149552395</v>
      </c>
      <c r="R384" s="8" t="str" cm="1">
        <f t="array" ref="R384">_xlfn.IFS(Q384&gt;40%,"Alta",Q384&gt;20%,"Média",Q384&lt;20%,"Baixa")</f>
        <v>Média</v>
      </c>
    </row>
    <row r="385" spans="1:18" x14ac:dyDescent="0.25">
      <c r="A385" s="5">
        <v>835</v>
      </c>
      <c r="B385" s="6">
        <v>45707</v>
      </c>
      <c r="C385" s="8" t="s">
        <v>16</v>
      </c>
      <c r="D385" s="8" t="s">
        <v>35</v>
      </c>
      <c r="E385" s="8" t="s">
        <v>37</v>
      </c>
      <c r="F385" s="5">
        <v>7724</v>
      </c>
      <c r="G385" s="8" t="s">
        <v>36</v>
      </c>
      <c r="H385" s="8" t="s">
        <v>31</v>
      </c>
      <c r="I385" s="5">
        <v>12</v>
      </c>
      <c r="J385" s="10">
        <v>2529</v>
      </c>
      <c r="K385" s="10">
        <v>30348</v>
      </c>
      <c r="L385" s="10">
        <v>23456.880000000001</v>
      </c>
      <c r="M385" s="10">
        <v>6891.12</v>
      </c>
      <c r="N385" s="8" t="s">
        <v>21</v>
      </c>
      <c r="O385" s="8" t="s">
        <v>33</v>
      </c>
      <c r="P385" s="8" t="s">
        <v>44</v>
      </c>
      <c r="Q385" s="3">
        <f t="shared" si="6"/>
        <v>0.22706998813760379</v>
      </c>
      <c r="R385" s="8" t="str" cm="1">
        <f t="array" ref="R385">_xlfn.IFS(Q385&gt;40%,"Alta",Q385&gt;20%,"Média",Q385&lt;20%,"Baixa")</f>
        <v>Média</v>
      </c>
    </row>
    <row r="386" spans="1:18" x14ac:dyDescent="0.25">
      <c r="A386" s="5">
        <v>45</v>
      </c>
      <c r="B386" s="6">
        <v>45742</v>
      </c>
      <c r="C386" s="8" t="s">
        <v>24</v>
      </c>
      <c r="D386" s="8" t="s">
        <v>45</v>
      </c>
      <c r="E386" s="8" t="s">
        <v>37</v>
      </c>
      <c r="F386" s="5">
        <v>1969</v>
      </c>
      <c r="G386" s="8" t="s">
        <v>26</v>
      </c>
      <c r="H386" s="8" t="s">
        <v>27</v>
      </c>
      <c r="I386" s="5">
        <v>7</v>
      </c>
      <c r="J386" s="10">
        <v>4331</v>
      </c>
      <c r="K386" s="10">
        <v>30317</v>
      </c>
      <c r="L386" s="10">
        <v>14664.45</v>
      </c>
      <c r="M386" s="10">
        <v>15652.55</v>
      </c>
      <c r="N386" s="8" t="s">
        <v>21</v>
      </c>
      <c r="O386" s="8" t="s">
        <v>33</v>
      </c>
      <c r="P386" s="8" t="s">
        <v>29</v>
      </c>
      <c r="Q386" s="3">
        <f t="shared" ref="Q386:Q449" si="7">M386/K386</f>
        <v>0.51629613748062142</v>
      </c>
      <c r="R386" s="8" t="str" cm="1">
        <f t="array" ref="R386">_xlfn.IFS(Q386&gt;40%,"Alta",Q386&gt;20%,"Média",Q386&lt;20%,"Baixa")</f>
        <v>Alta</v>
      </c>
    </row>
    <row r="387" spans="1:18" x14ac:dyDescent="0.25">
      <c r="A387" s="5">
        <v>530</v>
      </c>
      <c r="B387" s="6">
        <v>45821</v>
      </c>
      <c r="C387" s="8" t="s">
        <v>47</v>
      </c>
      <c r="D387" s="8" t="s">
        <v>42</v>
      </c>
      <c r="E387" s="8" t="s">
        <v>37</v>
      </c>
      <c r="F387" s="5">
        <v>2259</v>
      </c>
      <c r="G387" s="8" t="s">
        <v>19</v>
      </c>
      <c r="H387" s="8" t="s">
        <v>31</v>
      </c>
      <c r="I387" s="5">
        <v>7</v>
      </c>
      <c r="J387" s="10">
        <v>4328</v>
      </c>
      <c r="K387" s="10">
        <v>30296</v>
      </c>
      <c r="L387" s="10">
        <v>16279.5</v>
      </c>
      <c r="M387" s="10">
        <v>14016.5</v>
      </c>
      <c r="N387" s="8" t="s">
        <v>32</v>
      </c>
      <c r="O387" s="8" t="s">
        <v>39</v>
      </c>
      <c r="P387" s="8" t="s">
        <v>44</v>
      </c>
      <c r="Q387" s="3">
        <f t="shared" si="7"/>
        <v>0.46265183522577236</v>
      </c>
      <c r="R387" s="8" t="str" cm="1">
        <f t="array" ref="R387">_xlfn.IFS(Q387&gt;40%,"Alta",Q387&gt;20%,"Média",Q387&lt;20%,"Baixa")</f>
        <v>Alta</v>
      </c>
    </row>
    <row r="388" spans="1:18" x14ac:dyDescent="0.25">
      <c r="A388" s="5">
        <v>36</v>
      </c>
      <c r="B388" s="6">
        <v>45670</v>
      </c>
      <c r="C388" s="8" t="s">
        <v>34</v>
      </c>
      <c r="D388" s="8" t="s">
        <v>17</v>
      </c>
      <c r="E388" s="8" t="s">
        <v>25</v>
      </c>
      <c r="F388" s="5">
        <v>7424</v>
      </c>
      <c r="G388" s="8" t="s">
        <v>19</v>
      </c>
      <c r="H388" s="8" t="s">
        <v>20</v>
      </c>
      <c r="I388" s="5">
        <v>7</v>
      </c>
      <c r="J388" s="10">
        <v>4326</v>
      </c>
      <c r="K388" s="10">
        <v>30282</v>
      </c>
      <c r="L388" s="10">
        <v>18709.71</v>
      </c>
      <c r="M388" s="10">
        <v>11572.29</v>
      </c>
      <c r="N388" s="8" t="s">
        <v>21</v>
      </c>
      <c r="O388" s="8" t="s">
        <v>33</v>
      </c>
      <c r="P388" s="8" t="s">
        <v>46</v>
      </c>
      <c r="Q388" s="3">
        <f t="shared" si="7"/>
        <v>0.38215078264315439</v>
      </c>
      <c r="R388" s="8" t="str" cm="1">
        <f t="array" ref="R388">_xlfn.IFS(Q388&gt;40%,"Alta",Q388&gt;20%,"Média",Q388&lt;20%,"Baixa")</f>
        <v>Média</v>
      </c>
    </row>
    <row r="389" spans="1:18" x14ac:dyDescent="0.25">
      <c r="A389" s="5">
        <v>40</v>
      </c>
      <c r="B389" s="6">
        <v>45748</v>
      </c>
      <c r="C389" s="8" t="s">
        <v>24</v>
      </c>
      <c r="D389" s="8" t="s">
        <v>42</v>
      </c>
      <c r="E389" s="8" t="s">
        <v>37</v>
      </c>
      <c r="F389" s="5">
        <v>3721</v>
      </c>
      <c r="G389" s="8" t="s">
        <v>19</v>
      </c>
      <c r="H389" s="8" t="s">
        <v>38</v>
      </c>
      <c r="I389" s="5">
        <v>7</v>
      </c>
      <c r="J389" s="10">
        <v>4321</v>
      </c>
      <c r="K389" s="10">
        <v>30247</v>
      </c>
      <c r="L389" s="10">
        <v>13566.02</v>
      </c>
      <c r="M389" s="10">
        <v>16680.98</v>
      </c>
      <c r="N389" s="8" t="s">
        <v>21</v>
      </c>
      <c r="O389" s="8" t="s">
        <v>33</v>
      </c>
      <c r="P389" s="8" t="s">
        <v>46</v>
      </c>
      <c r="Q389" s="3">
        <f t="shared" si="7"/>
        <v>0.55149204879822789</v>
      </c>
      <c r="R389" s="8" t="str" cm="1">
        <f t="array" ref="R389">_xlfn.IFS(Q389&gt;40%,"Alta",Q389&gt;20%,"Média",Q389&lt;20%,"Baixa")</f>
        <v>Alta</v>
      </c>
    </row>
    <row r="390" spans="1:18" x14ac:dyDescent="0.25">
      <c r="A390" s="5">
        <v>322</v>
      </c>
      <c r="B390" s="6">
        <v>45665</v>
      </c>
      <c r="C390" s="8" t="s">
        <v>34</v>
      </c>
      <c r="D390" s="8" t="s">
        <v>45</v>
      </c>
      <c r="E390" s="8" t="s">
        <v>18</v>
      </c>
      <c r="F390" s="5">
        <v>2304</v>
      </c>
      <c r="G390" s="8" t="s">
        <v>36</v>
      </c>
      <c r="H390" s="8" t="s">
        <v>43</v>
      </c>
      <c r="I390" s="5">
        <v>9</v>
      </c>
      <c r="J390" s="10">
        <v>3351</v>
      </c>
      <c r="K390" s="10">
        <v>30159</v>
      </c>
      <c r="L390" s="10">
        <v>17619.88</v>
      </c>
      <c r="M390" s="10">
        <v>12539.12</v>
      </c>
      <c r="N390" s="8" t="s">
        <v>21</v>
      </c>
      <c r="O390" s="8" t="s">
        <v>39</v>
      </c>
      <c r="P390" s="8" t="s">
        <v>29</v>
      </c>
      <c r="Q390" s="3">
        <f t="shared" si="7"/>
        <v>0.41576710103120135</v>
      </c>
      <c r="R390" s="8" t="str" cm="1">
        <f t="array" ref="R390">_xlfn.IFS(Q390&gt;40%,"Alta",Q390&gt;20%,"Média",Q390&lt;20%,"Baixa")</f>
        <v>Alta</v>
      </c>
    </row>
    <row r="391" spans="1:18" x14ac:dyDescent="0.25">
      <c r="A391" s="5">
        <v>945</v>
      </c>
      <c r="B391" s="6">
        <v>45713</v>
      </c>
      <c r="C391" s="8" t="s">
        <v>47</v>
      </c>
      <c r="D391" s="8" t="s">
        <v>30</v>
      </c>
      <c r="E391" s="8" t="s">
        <v>37</v>
      </c>
      <c r="F391" s="5">
        <v>2802</v>
      </c>
      <c r="G391" s="8" t="s">
        <v>26</v>
      </c>
      <c r="H391" s="8" t="s">
        <v>43</v>
      </c>
      <c r="I391" s="5">
        <v>7</v>
      </c>
      <c r="J391" s="10">
        <v>4299</v>
      </c>
      <c r="K391" s="10">
        <v>30093</v>
      </c>
      <c r="L391" s="10">
        <v>12235.74</v>
      </c>
      <c r="M391" s="10">
        <v>17857.259999999998</v>
      </c>
      <c r="N391" s="8" t="s">
        <v>21</v>
      </c>
      <c r="O391" s="8" t="s">
        <v>22</v>
      </c>
      <c r="P391" s="8" t="s">
        <v>46</v>
      </c>
      <c r="Q391" s="3">
        <f t="shared" si="7"/>
        <v>0.5934024523975675</v>
      </c>
      <c r="R391" s="8" t="str" cm="1">
        <f t="array" ref="R391">_xlfn.IFS(Q391&gt;40%,"Alta",Q391&gt;20%,"Média",Q391&lt;20%,"Baixa")</f>
        <v>Alta</v>
      </c>
    </row>
    <row r="392" spans="1:18" x14ac:dyDescent="0.25">
      <c r="A392" s="5">
        <v>300</v>
      </c>
      <c r="B392" s="6">
        <v>45685</v>
      </c>
      <c r="C392" s="8" t="s">
        <v>34</v>
      </c>
      <c r="D392" s="8" t="s">
        <v>30</v>
      </c>
      <c r="E392" s="8" t="s">
        <v>25</v>
      </c>
      <c r="F392" s="5">
        <v>9592</v>
      </c>
      <c r="G392" s="8" t="s">
        <v>19</v>
      </c>
      <c r="H392" s="8" t="s">
        <v>27</v>
      </c>
      <c r="I392" s="5">
        <v>15</v>
      </c>
      <c r="J392" s="10">
        <v>2006</v>
      </c>
      <c r="K392" s="10">
        <v>30090</v>
      </c>
      <c r="L392" s="10">
        <v>20548.27</v>
      </c>
      <c r="M392" s="10">
        <v>9541.73</v>
      </c>
      <c r="N392" s="8" t="s">
        <v>32</v>
      </c>
      <c r="O392" s="8" t="s">
        <v>33</v>
      </c>
      <c r="P392" s="8" t="s">
        <v>44</v>
      </c>
      <c r="Q392" s="3">
        <f t="shared" si="7"/>
        <v>0.31710634762379525</v>
      </c>
      <c r="R392" s="8" t="str" cm="1">
        <f t="array" ref="R392">_xlfn.IFS(Q392&gt;40%,"Alta",Q392&gt;20%,"Média",Q392&lt;20%,"Baixa")</f>
        <v>Média</v>
      </c>
    </row>
    <row r="393" spans="1:18" x14ac:dyDescent="0.25">
      <c r="A393" s="5">
        <v>190</v>
      </c>
      <c r="B393" s="6">
        <v>45837</v>
      </c>
      <c r="C393" s="8" t="s">
        <v>16</v>
      </c>
      <c r="D393" s="8" t="s">
        <v>17</v>
      </c>
      <c r="E393" s="8" t="s">
        <v>25</v>
      </c>
      <c r="F393" s="5">
        <v>3263</v>
      </c>
      <c r="G393" s="8" t="s">
        <v>26</v>
      </c>
      <c r="H393" s="8" t="s">
        <v>20</v>
      </c>
      <c r="I393" s="5">
        <v>12</v>
      </c>
      <c r="J393" s="10">
        <v>2490</v>
      </c>
      <c r="K393" s="10">
        <v>29880</v>
      </c>
      <c r="L393" s="10">
        <v>13198.17</v>
      </c>
      <c r="M393" s="10">
        <v>16681.830000000002</v>
      </c>
      <c r="N393" s="8" t="s">
        <v>21</v>
      </c>
      <c r="O393" s="8" t="s">
        <v>22</v>
      </c>
      <c r="P393" s="8" t="s">
        <v>40</v>
      </c>
      <c r="Q393" s="3">
        <f t="shared" si="7"/>
        <v>0.55829417670682735</v>
      </c>
      <c r="R393" s="8" t="str" cm="1">
        <f t="array" ref="R393">_xlfn.IFS(Q393&gt;40%,"Alta",Q393&gt;20%,"Média",Q393&lt;20%,"Baixa")</f>
        <v>Alta</v>
      </c>
    </row>
    <row r="394" spans="1:18" x14ac:dyDescent="0.25">
      <c r="A394" s="5">
        <v>710</v>
      </c>
      <c r="B394" s="6">
        <v>45821</v>
      </c>
      <c r="C394" s="8" t="s">
        <v>34</v>
      </c>
      <c r="D394" s="8" t="s">
        <v>45</v>
      </c>
      <c r="E394" s="8" t="s">
        <v>25</v>
      </c>
      <c r="F394" s="5">
        <v>7258</v>
      </c>
      <c r="G394" s="8" t="s">
        <v>26</v>
      </c>
      <c r="H394" s="8" t="s">
        <v>38</v>
      </c>
      <c r="I394" s="5">
        <v>9</v>
      </c>
      <c r="J394" s="10">
        <v>3304</v>
      </c>
      <c r="K394" s="10">
        <v>29736</v>
      </c>
      <c r="L394" s="10">
        <v>19130.560000000001</v>
      </c>
      <c r="M394" s="10">
        <v>10605.44</v>
      </c>
      <c r="N394" s="8" t="s">
        <v>21</v>
      </c>
      <c r="O394" s="8" t="s">
        <v>22</v>
      </c>
      <c r="P394" s="8" t="s">
        <v>46</v>
      </c>
      <c r="Q394" s="3">
        <f t="shared" si="7"/>
        <v>0.35665321495829971</v>
      </c>
      <c r="R394" s="8" t="str" cm="1">
        <f t="array" ref="R394">_xlfn.IFS(Q394&gt;40%,"Alta",Q394&gt;20%,"Média",Q394&lt;20%,"Baixa")</f>
        <v>Média</v>
      </c>
    </row>
    <row r="395" spans="1:18" x14ac:dyDescent="0.25">
      <c r="A395" s="5">
        <v>937</v>
      </c>
      <c r="B395" s="6">
        <v>45758</v>
      </c>
      <c r="C395" s="8" t="s">
        <v>24</v>
      </c>
      <c r="D395" s="8" t="s">
        <v>35</v>
      </c>
      <c r="E395" s="8" t="s">
        <v>25</v>
      </c>
      <c r="F395" s="5">
        <v>8050</v>
      </c>
      <c r="G395" s="8" t="s">
        <v>36</v>
      </c>
      <c r="H395" s="8" t="s">
        <v>27</v>
      </c>
      <c r="I395" s="5">
        <v>6</v>
      </c>
      <c r="J395" s="10">
        <v>4945</v>
      </c>
      <c r="K395" s="10">
        <v>29670</v>
      </c>
      <c r="L395" s="10">
        <v>20474.830000000002</v>
      </c>
      <c r="M395" s="10">
        <v>9195.17</v>
      </c>
      <c r="N395" s="8" t="s">
        <v>21</v>
      </c>
      <c r="O395" s="8" t="s">
        <v>39</v>
      </c>
      <c r="P395" s="8" t="s">
        <v>40</v>
      </c>
      <c r="Q395" s="3">
        <f t="shared" si="7"/>
        <v>0.30991472868217057</v>
      </c>
      <c r="R395" s="8" t="str" cm="1">
        <f t="array" ref="R395">_xlfn.IFS(Q395&gt;40%,"Alta",Q395&gt;20%,"Média",Q395&lt;20%,"Baixa")</f>
        <v>Média</v>
      </c>
    </row>
    <row r="396" spans="1:18" x14ac:dyDescent="0.25">
      <c r="A396" s="5">
        <v>332</v>
      </c>
      <c r="B396" s="6">
        <v>45732</v>
      </c>
      <c r="C396" s="8" t="s">
        <v>47</v>
      </c>
      <c r="D396" s="8" t="s">
        <v>45</v>
      </c>
      <c r="E396" s="8" t="s">
        <v>37</v>
      </c>
      <c r="F396" s="5">
        <v>9764</v>
      </c>
      <c r="G396" s="8" t="s">
        <v>26</v>
      </c>
      <c r="H396" s="8" t="s">
        <v>20</v>
      </c>
      <c r="I396" s="5">
        <v>20</v>
      </c>
      <c r="J396" s="10">
        <v>1479</v>
      </c>
      <c r="K396" s="10">
        <v>29580</v>
      </c>
      <c r="L396" s="10">
        <v>19770.14</v>
      </c>
      <c r="M396" s="10">
        <v>9809.86</v>
      </c>
      <c r="N396" s="8" t="s">
        <v>21</v>
      </c>
      <c r="O396" s="8" t="s">
        <v>22</v>
      </c>
      <c r="P396" s="8" t="s">
        <v>46</v>
      </c>
      <c r="Q396" s="3">
        <f t="shared" si="7"/>
        <v>0.33163826910074379</v>
      </c>
      <c r="R396" s="8" t="str" cm="1">
        <f t="array" ref="R396">_xlfn.IFS(Q396&gt;40%,"Alta",Q396&gt;20%,"Média",Q396&lt;20%,"Baixa")</f>
        <v>Média</v>
      </c>
    </row>
    <row r="397" spans="1:18" x14ac:dyDescent="0.25">
      <c r="A397" s="5">
        <v>227</v>
      </c>
      <c r="B397" s="6">
        <v>45822</v>
      </c>
      <c r="C397" s="8" t="s">
        <v>34</v>
      </c>
      <c r="D397" s="8" t="s">
        <v>42</v>
      </c>
      <c r="E397" s="8" t="s">
        <v>41</v>
      </c>
      <c r="F397" s="5">
        <v>4854</v>
      </c>
      <c r="G397" s="8" t="s">
        <v>26</v>
      </c>
      <c r="H397" s="8" t="s">
        <v>27</v>
      </c>
      <c r="I397" s="5">
        <v>6</v>
      </c>
      <c r="J397" s="10">
        <v>4926</v>
      </c>
      <c r="K397" s="10">
        <v>29556</v>
      </c>
      <c r="L397" s="10">
        <v>13950.32</v>
      </c>
      <c r="M397" s="10">
        <v>15605.68</v>
      </c>
      <c r="N397" s="8" t="s">
        <v>21</v>
      </c>
      <c r="O397" s="8" t="s">
        <v>39</v>
      </c>
      <c r="P397" s="8" t="s">
        <v>40</v>
      </c>
      <c r="Q397" s="3">
        <f t="shared" si="7"/>
        <v>0.52800378941670056</v>
      </c>
      <c r="R397" s="8" t="str" cm="1">
        <f t="array" ref="R397">_xlfn.IFS(Q397&gt;40%,"Alta",Q397&gt;20%,"Média",Q397&lt;20%,"Baixa")</f>
        <v>Alta</v>
      </c>
    </row>
    <row r="398" spans="1:18" x14ac:dyDescent="0.25">
      <c r="A398" s="5">
        <v>840</v>
      </c>
      <c r="B398" s="6">
        <v>45836</v>
      </c>
      <c r="C398" s="8" t="s">
        <v>16</v>
      </c>
      <c r="D398" s="8" t="s">
        <v>35</v>
      </c>
      <c r="E398" s="8" t="s">
        <v>41</v>
      </c>
      <c r="F398" s="5">
        <v>1204</v>
      </c>
      <c r="G398" s="8" t="s">
        <v>26</v>
      </c>
      <c r="H398" s="8" t="s">
        <v>43</v>
      </c>
      <c r="I398" s="5">
        <v>18</v>
      </c>
      <c r="J398" s="10">
        <v>1635</v>
      </c>
      <c r="K398" s="10">
        <v>29430</v>
      </c>
      <c r="L398" s="10">
        <v>17660.11</v>
      </c>
      <c r="M398" s="10">
        <v>11769.89</v>
      </c>
      <c r="N398" s="8" t="s">
        <v>32</v>
      </c>
      <c r="O398" s="8" t="s">
        <v>22</v>
      </c>
      <c r="P398" s="8" t="s">
        <v>29</v>
      </c>
      <c r="Q398" s="3">
        <f t="shared" si="7"/>
        <v>0.39992830445124022</v>
      </c>
      <c r="R398" s="8" t="str" cm="1">
        <f t="array" ref="R398">_xlfn.IFS(Q398&gt;40%,"Alta",Q398&gt;20%,"Média",Q398&lt;20%,"Baixa")</f>
        <v>Média</v>
      </c>
    </row>
    <row r="399" spans="1:18" x14ac:dyDescent="0.25">
      <c r="A399" s="5">
        <v>819</v>
      </c>
      <c r="B399" s="6">
        <v>45687</v>
      </c>
      <c r="C399" s="8" t="s">
        <v>34</v>
      </c>
      <c r="D399" s="8" t="s">
        <v>17</v>
      </c>
      <c r="E399" s="8" t="s">
        <v>18</v>
      </c>
      <c r="F399" s="5">
        <v>2162</v>
      </c>
      <c r="G399" s="8" t="s">
        <v>36</v>
      </c>
      <c r="H399" s="8" t="s">
        <v>43</v>
      </c>
      <c r="I399" s="5">
        <v>17</v>
      </c>
      <c r="J399" s="10">
        <v>1731</v>
      </c>
      <c r="K399" s="10">
        <v>29427</v>
      </c>
      <c r="L399" s="10">
        <v>11973.33</v>
      </c>
      <c r="M399" s="10">
        <v>17453.669999999998</v>
      </c>
      <c r="N399" s="8" t="s">
        <v>28</v>
      </c>
      <c r="O399" s="8" t="s">
        <v>33</v>
      </c>
      <c r="P399" s="8" t="s">
        <v>40</v>
      </c>
      <c r="Q399" s="3">
        <f t="shared" si="7"/>
        <v>0.59311754511163206</v>
      </c>
      <c r="R399" s="8" t="str" cm="1">
        <f t="array" ref="R399">_xlfn.IFS(Q399&gt;40%,"Alta",Q399&gt;20%,"Média",Q399&lt;20%,"Baixa")</f>
        <v>Alta</v>
      </c>
    </row>
    <row r="400" spans="1:18" x14ac:dyDescent="0.25">
      <c r="A400" s="5">
        <v>401</v>
      </c>
      <c r="B400" s="6">
        <v>45818</v>
      </c>
      <c r="C400" s="8" t="s">
        <v>16</v>
      </c>
      <c r="D400" s="8" t="s">
        <v>17</v>
      </c>
      <c r="E400" s="8" t="s">
        <v>25</v>
      </c>
      <c r="F400" s="5">
        <v>5819</v>
      </c>
      <c r="G400" s="8" t="s">
        <v>36</v>
      </c>
      <c r="H400" s="8" t="s">
        <v>31</v>
      </c>
      <c r="I400" s="5">
        <v>16</v>
      </c>
      <c r="J400" s="10">
        <v>1826</v>
      </c>
      <c r="K400" s="10">
        <v>29216</v>
      </c>
      <c r="L400" s="10">
        <v>22620.92</v>
      </c>
      <c r="M400" s="10">
        <v>6595.08</v>
      </c>
      <c r="N400" s="8" t="s">
        <v>21</v>
      </c>
      <c r="O400" s="8" t="s">
        <v>22</v>
      </c>
      <c r="P400" s="8" t="s">
        <v>44</v>
      </c>
      <c r="Q400" s="3">
        <f t="shared" si="7"/>
        <v>0.22573521358159912</v>
      </c>
      <c r="R400" s="8" t="str" cm="1">
        <f t="array" ref="R400">_xlfn.IFS(Q400&gt;40%,"Alta",Q400&gt;20%,"Média",Q400&lt;20%,"Baixa")</f>
        <v>Média</v>
      </c>
    </row>
    <row r="401" spans="1:18" x14ac:dyDescent="0.25">
      <c r="A401" s="5">
        <v>908</v>
      </c>
      <c r="B401" s="6">
        <v>45695</v>
      </c>
      <c r="C401" s="8" t="s">
        <v>16</v>
      </c>
      <c r="D401" s="8" t="s">
        <v>17</v>
      </c>
      <c r="E401" s="8" t="s">
        <v>41</v>
      </c>
      <c r="F401" s="5">
        <v>8367</v>
      </c>
      <c r="G401" s="8" t="s">
        <v>19</v>
      </c>
      <c r="H401" s="8" t="s">
        <v>27</v>
      </c>
      <c r="I401" s="5">
        <v>16</v>
      </c>
      <c r="J401" s="10">
        <v>1824</v>
      </c>
      <c r="K401" s="10">
        <v>29184</v>
      </c>
      <c r="L401" s="10">
        <v>12455.35</v>
      </c>
      <c r="M401" s="10">
        <v>16728.650000000001</v>
      </c>
      <c r="N401" s="8" t="s">
        <v>32</v>
      </c>
      <c r="O401" s="8" t="s">
        <v>22</v>
      </c>
      <c r="P401" s="8" t="s">
        <v>40</v>
      </c>
      <c r="Q401" s="3">
        <f t="shared" si="7"/>
        <v>0.57321306195175448</v>
      </c>
      <c r="R401" s="8" t="str" cm="1">
        <f t="array" ref="R401">_xlfn.IFS(Q401&gt;40%,"Alta",Q401&gt;20%,"Média",Q401&lt;20%,"Baixa")</f>
        <v>Alta</v>
      </c>
    </row>
    <row r="402" spans="1:18" x14ac:dyDescent="0.25">
      <c r="A402" s="5">
        <v>396</v>
      </c>
      <c r="B402" s="6">
        <v>45693</v>
      </c>
      <c r="C402" s="8" t="s">
        <v>24</v>
      </c>
      <c r="D402" s="8" t="s">
        <v>45</v>
      </c>
      <c r="E402" s="8" t="s">
        <v>41</v>
      </c>
      <c r="F402" s="5">
        <v>5933</v>
      </c>
      <c r="G402" s="8" t="s">
        <v>19</v>
      </c>
      <c r="H402" s="8" t="s">
        <v>31</v>
      </c>
      <c r="I402" s="5">
        <v>20</v>
      </c>
      <c r="J402" s="10">
        <v>1458</v>
      </c>
      <c r="K402" s="10">
        <v>29160</v>
      </c>
      <c r="L402" s="10">
        <v>21242.03</v>
      </c>
      <c r="M402" s="10">
        <v>7917.97</v>
      </c>
      <c r="N402" s="8" t="s">
        <v>28</v>
      </c>
      <c r="O402" s="8" t="s">
        <v>33</v>
      </c>
      <c r="P402" s="8" t="s">
        <v>40</v>
      </c>
      <c r="Q402" s="3">
        <f t="shared" si="7"/>
        <v>0.27153532235939642</v>
      </c>
      <c r="R402" s="8" t="str" cm="1">
        <f t="array" ref="R402">_xlfn.IFS(Q402&gt;40%,"Alta",Q402&gt;20%,"Média",Q402&lt;20%,"Baixa")</f>
        <v>Média</v>
      </c>
    </row>
    <row r="403" spans="1:18" x14ac:dyDescent="0.25">
      <c r="A403" s="5">
        <v>508</v>
      </c>
      <c r="B403" s="6">
        <v>45737</v>
      </c>
      <c r="C403" s="8" t="s">
        <v>34</v>
      </c>
      <c r="D403" s="8" t="s">
        <v>42</v>
      </c>
      <c r="E403" s="8" t="s">
        <v>18</v>
      </c>
      <c r="F403" s="5">
        <v>9840</v>
      </c>
      <c r="G403" s="8" t="s">
        <v>26</v>
      </c>
      <c r="H403" s="8" t="s">
        <v>43</v>
      </c>
      <c r="I403" s="5">
        <v>8</v>
      </c>
      <c r="J403" s="10">
        <v>3614</v>
      </c>
      <c r="K403" s="10">
        <v>28912</v>
      </c>
      <c r="L403" s="10">
        <v>22016.26</v>
      </c>
      <c r="M403" s="10">
        <v>6895.74</v>
      </c>
      <c r="N403" s="8" t="s">
        <v>21</v>
      </c>
      <c r="O403" s="8" t="s">
        <v>33</v>
      </c>
      <c r="P403" s="8" t="s">
        <v>23</v>
      </c>
      <c r="Q403" s="3">
        <f t="shared" si="7"/>
        <v>0.23850788599889319</v>
      </c>
      <c r="R403" s="8" t="str" cm="1">
        <f t="array" ref="R403">_xlfn.IFS(Q403&gt;40%,"Alta",Q403&gt;20%,"Média",Q403&lt;20%,"Baixa")</f>
        <v>Média</v>
      </c>
    </row>
    <row r="404" spans="1:18" x14ac:dyDescent="0.25">
      <c r="A404" s="5">
        <v>815</v>
      </c>
      <c r="B404" s="6">
        <v>45824</v>
      </c>
      <c r="C404" s="8" t="s">
        <v>16</v>
      </c>
      <c r="D404" s="8" t="s">
        <v>17</v>
      </c>
      <c r="E404" s="8" t="s">
        <v>18</v>
      </c>
      <c r="F404" s="5">
        <v>5821</v>
      </c>
      <c r="G404" s="8" t="s">
        <v>19</v>
      </c>
      <c r="H404" s="8" t="s">
        <v>27</v>
      </c>
      <c r="I404" s="5">
        <v>12</v>
      </c>
      <c r="J404" s="10">
        <v>2406</v>
      </c>
      <c r="K404" s="10">
        <v>28872</v>
      </c>
      <c r="L404" s="10">
        <v>21913.94</v>
      </c>
      <c r="M404" s="10">
        <v>6958.06</v>
      </c>
      <c r="N404" s="8" t="s">
        <v>28</v>
      </c>
      <c r="O404" s="8" t="s">
        <v>22</v>
      </c>
      <c r="P404" s="8" t="s">
        <v>23</v>
      </c>
      <c r="Q404" s="3">
        <f t="shared" si="7"/>
        <v>0.2409968135217512</v>
      </c>
      <c r="R404" s="8" t="str" cm="1">
        <f t="array" ref="R404">_xlfn.IFS(Q404&gt;40%,"Alta",Q404&gt;20%,"Média",Q404&lt;20%,"Baixa")</f>
        <v>Média</v>
      </c>
    </row>
    <row r="405" spans="1:18" x14ac:dyDescent="0.25">
      <c r="A405" s="5">
        <v>996</v>
      </c>
      <c r="B405" s="6">
        <v>45799</v>
      </c>
      <c r="C405" s="8" t="s">
        <v>16</v>
      </c>
      <c r="D405" s="8" t="s">
        <v>45</v>
      </c>
      <c r="E405" s="8" t="s">
        <v>18</v>
      </c>
      <c r="F405" s="5">
        <v>6056</v>
      </c>
      <c r="G405" s="8" t="s">
        <v>19</v>
      </c>
      <c r="H405" s="8" t="s">
        <v>27</v>
      </c>
      <c r="I405" s="5">
        <v>9</v>
      </c>
      <c r="J405" s="10">
        <v>3203</v>
      </c>
      <c r="K405" s="10">
        <v>28827</v>
      </c>
      <c r="L405" s="10">
        <v>15328.08</v>
      </c>
      <c r="M405" s="10">
        <v>13498.92</v>
      </c>
      <c r="N405" s="8" t="s">
        <v>32</v>
      </c>
      <c r="O405" s="8" t="s">
        <v>39</v>
      </c>
      <c r="P405" s="8" t="s">
        <v>23</v>
      </c>
      <c r="Q405" s="3">
        <f t="shared" si="7"/>
        <v>0.46827349359975023</v>
      </c>
      <c r="R405" s="8" t="str" cm="1">
        <f t="array" ref="R405">_xlfn.IFS(Q405&gt;40%,"Alta",Q405&gt;20%,"Média",Q405&lt;20%,"Baixa")</f>
        <v>Alta</v>
      </c>
    </row>
    <row r="406" spans="1:18" x14ac:dyDescent="0.25">
      <c r="A406" s="5">
        <v>468</v>
      </c>
      <c r="B406" s="6">
        <v>45835</v>
      </c>
      <c r="C406" s="8" t="s">
        <v>16</v>
      </c>
      <c r="D406" s="8" t="s">
        <v>42</v>
      </c>
      <c r="E406" s="8" t="s">
        <v>25</v>
      </c>
      <c r="F406" s="5">
        <v>4625</v>
      </c>
      <c r="G406" s="8" t="s">
        <v>26</v>
      </c>
      <c r="H406" s="8" t="s">
        <v>43</v>
      </c>
      <c r="I406" s="5">
        <v>8</v>
      </c>
      <c r="J406" s="10">
        <v>3597</v>
      </c>
      <c r="K406" s="10">
        <v>28776</v>
      </c>
      <c r="L406" s="10">
        <v>13586</v>
      </c>
      <c r="M406" s="10">
        <v>15190</v>
      </c>
      <c r="N406" s="8" t="s">
        <v>21</v>
      </c>
      <c r="O406" s="8" t="s">
        <v>33</v>
      </c>
      <c r="P406" s="8" t="s">
        <v>29</v>
      </c>
      <c r="Q406" s="3">
        <f t="shared" si="7"/>
        <v>0.52787044759521828</v>
      </c>
      <c r="R406" s="8" t="str" cm="1">
        <f t="array" ref="R406">_xlfn.IFS(Q406&gt;40%,"Alta",Q406&gt;20%,"Média",Q406&lt;20%,"Baixa")</f>
        <v>Alta</v>
      </c>
    </row>
    <row r="407" spans="1:18" x14ac:dyDescent="0.25">
      <c r="A407" s="5">
        <v>540</v>
      </c>
      <c r="B407" s="6">
        <v>45672</v>
      </c>
      <c r="C407" s="8" t="s">
        <v>24</v>
      </c>
      <c r="D407" s="8" t="s">
        <v>30</v>
      </c>
      <c r="E407" s="8" t="s">
        <v>25</v>
      </c>
      <c r="F407" s="5">
        <v>3232</v>
      </c>
      <c r="G407" s="8" t="s">
        <v>36</v>
      </c>
      <c r="H407" s="8" t="s">
        <v>20</v>
      </c>
      <c r="I407" s="5">
        <v>12</v>
      </c>
      <c r="J407" s="10">
        <v>2397</v>
      </c>
      <c r="K407" s="10">
        <v>28764</v>
      </c>
      <c r="L407" s="10">
        <v>16688.509999999998</v>
      </c>
      <c r="M407" s="10">
        <v>12075.49</v>
      </c>
      <c r="N407" s="8" t="s">
        <v>21</v>
      </c>
      <c r="O407" s="8" t="s">
        <v>33</v>
      </c>
      <c r="P407" s="8" t="s">
        <v>40</v>
      </c>
      <c r="Q407" s="3">
        <f t="shared" si="7"/>
        <v>0.41981261298845779</v>
      </c>
      <c r="R407" s="8" t="str" cm="1">
        <f t="array" ref="R407">_xlfn.IFS(Q407&gt;40%,"Alta",Q407&gt;20%,"Média",Q407&lt;20%,"Baixa")</f>
        <v>Alta</v>
      </c>
    </row>
    <row r="408" spans="1:18" x14ac:dyDescent="0.25">
      <c r="A408" s="5">
        <v>633</v>
      </c>
      <c r="B408" s="6">
        <v>45813</v>
      </c>
      <c r="C408" s="8" t="s">
        <v>47</v>
      </c>
      <c r="D408" s="8" t="s">
        <v>35</v>
      </c>
      <c r="E408" s="8" t="s">
        <v>18</v>
      </c>
      <c r="F408" s="5">
        <v>1708</v>
      </c>
      <c r="G408" s="8" t="s">
        <v>26</v>
      </c>
      <c r="H408" s="8" t="s">
        <v>31</v>
      </c>
      <c r="I408" s="5">
        <v>9</v>
      </c>
      <c r="J408" s="10">
        <v>3184</v>
      </c>
      <c r="K408" s="10">
        <v>28656</v>
      </c>
      <c r="L408" s="10">
        <v>11668.2</v>
      </c>
      <c r="M408" s="10">
        <v>16987.8</v>
      </c>
      <c r="N408" s="8" t="s">
        <v>21</v>
      </c>
      <c r="O408" s="8" t="s">
        <v>22</v>
      </c>
      <c r="P408" s="8" t="s">
        <v>46</v>
      </c>
      <c r="Q408" s="3">
        <f t="shared" si="7"/>
        <v>0.59281825795644894</v>
      </c>
      <c r="R408" s="8" t="str" cm="1">
        <f t="array" ref="R408">_xlfn.IFS(Q408&gt;40%,"Alta",Q408&gt;20%,"Média",Q408&lt;20%,"Baixa")</f>
        <v>Alta</v>
      </c>
    </row>
    <row r="409" spans="1:18" x14ac:dyDescent="0.25">
      <c r="A409" s="5">
        <v>272</v>
      </c>
      <c r="B409" s="6">
        <v>45772</v>
      </c>
      <c r="C409" s="8" t="s">
        <v>24</v>
      </c>
      <c r="D409" s="8" t="s">
        <v>42</v>
      </c>
      <c r="E409" s="8" t="s">
        <v>25</v>
      </c>
      <c r="F409" s="5">
        <v>3856</v>
      </c>
      <c r="G409" s="8" t="s">
        <v>26</v>
      </c>
      <c r="H409" s="8" t="s">
        <v>27</v>
      </c>
      <c r="I409" s="5">
        <v>13</v>
      </c>
      <c r="J409" s="10">
        <v>2190</v>
      </c>
      <c r="K409" s="10">
        <v>28470</v>
      </c>
      <c r="L409" s="10">
        <v>19841.169999999998</v>
      </c>
      <c r="M409" s="10">
        <v>8628.83</v>
      </c>
      <c r="N409" s="8" t="s">
        <v>21</v>
      </c>
      <c r="O409" s="8" t="s">
        <v>39</v>
      </c>
      <c r="P409" s="8" t="s">
        <v>29</v>
      </c>
      <c r="Q409" s="3">
        <f t="shared" si="7"/>
        <v>0.30308500175623465</v>
      </c>
      <c r="R409" s="8" t="str" cm="1">
        <f t="array" ref="R409">_xlfn.IFS(Q409&gt;40%,"Alta",Q409&gt;20%,"Média",Q409&lt;20%,"Baixa")</f>
        <v>Média</v>
      </c>
    </row>
    <row r="410" spans="1:18" x14ac:dyDescent="0.25">
      <c r="A410" s="5">
        <v>462</v>
      </c>
      <c r="B410" s="6">
        <v>45743</v>
      </c>
      <c r="C410" s="8" t="s">
        <v>47</v>
      </c>
      <c r="D410" s="8" t="s">
        <v>42</v>
      </c>
      <c r="E410" s="8" t="s">
        <v>37</v>
      </c>
      <c r="F410" s="5">
        <v>1649</v>
      </c>
      <c r="G410" s="8" t="s">
        <v>26</v>
      </c>
      <c r="H410" s="8" t="s">
        <v>43</v>
      </c>
      <c r="I410" s="5">
        <v>12</v>
      </c>
      <c r="J410" s="10">
        <v>2364</v>
      </c>
      <c r="K410" s="10">
        <v>28368</v>
      </c>
      <c r="L410" s="10">
        <v>19373.349999999999</v>
      </c>
      <c r="M410" s="10">
        <v>8994.65</v>
      </c>
      <c r="N410" s="8" t="s">
        <v>21</v>
      </c>
      <c r="O410" s="8" t="s">
        <v>33</v>
      </c>
      <c r="P410" s="8" t="s">
        <v>40</v>
      </c>
      <c r="Q410" s="3">
        <f t="shared" si="7"/>
        <v>0.31707029046813312</v>
      </c>
      <c r="R410" s="8" t="str" cm="1">
        <f t="array" ref="R410">_xlfn.IFS(Q410&gt;40%,"Alta",Q410&gt;20%,"Média",Q410&lt;20%,"Baixa")</f>
        <v>Média</v>
      </c>
    </row>
    <row r="411" spans="1:18" x14ac:dyDescent="0.25">
      <c r="A411" s="5">
        <v>18</v>
      </c>
      <c r="B411" s="6">
        <v>45813</v>
      </c>
      <c r="C411" s="8" t="s">
        <v>16</v>
      </c>
      <c r="D411" s="8" t="s">
        <v>35</v>
      </c>
      <c r="E411" s="8" t="s">
        <v>25</v>
      </c>
      <c r="F411" s="5">
        <v>4218</v>
      </c>
      <c r="G411" s="8" t="s">
        <v>36</v>
      </c>
      <c r="H411" s="8" t="s">
        <v>38</v>
      </c>
      <c r="I411" s="5">
        <v>14</v>
      </c>
      <c r="J411" s="10">
        <v>2022</v>
      </c>
      <c r="K411" s="10">
        <v>28308</v>
      </c>
      <c r="L411" s="10">
        <v>18595.86</v>
      </c>
      <c r="M411" s="10">
        <v>9712.14</v>
      </c>
      <c r="N411" s="8" t="s">
        <v>21</v>
      </c>
      <c r="O411" s="8" t="s">
        <v>22</v>
      </c>
      <c r="P411" s="8" t="s">
        <v>46</v>
      </c>
      <c r="Q411" s="3">
        <f t="shared" si="7"/>
        <v>0.34308817295464178</v>
      </c>
      <c r="R411" s="8" t="str" cm="1">
        <f t="array" ref="R411">_xlfn.IFS(Q411&gt;40%,"Alta",Q411&gt;20%,"Média",Q411&lt;20%,"Baixa")</f>
        <v>Média</v>
      </c>
    </row>
    <row r="412" spans="1:18" x14ac:dyDescent="0.25">
      <c r="A412" s="5">
        <v>186</v>
      </c>
      <c r="B412" s="6">
        <v>45729</v>
      </c>
      <c r="C412" s="8" t="s">
        <v>34</v>
      </c>
      <c r="D412" s="8" t="s">
        <v>42</v>
      </c>
      <c r="E412" s="8" t="s">
        <v>18</v>
      </c>
      <c r="F412" s="5">
        <v>1558</v>
      </c>
      <c r="G412" s="8" t="s">
        <v>36</v>
      </c>
      <c r="H412" s="8" t="s">
        <v>43</v>
      </c>
      <c r="I412" s="5">
        <v>10</v>
      </c>
      <c r="J412" s="10">
        <v>2828</v>
      </c>
      <c r="K412" s="10">
        <v>28280</v>
      </c>
      <c r="L412" s="10">
        <v>15144.71</v>
      </c>
      <c r="M412" s="10">
        <v>13135.29</v>
      </c>
      <c r="N412" s="8" t="s">
        <v>32</v>
      </c>
      <c r="O412" s="8" t="s">
        <v>39</v>
      </c>
      <c r="P412" s="8" t="s">
        <v>40</v>
      </c>
      <c r="Q412" s="3">
        <f t="shared" si="7"/>
        <v>0.46447277227722777</v>
      </c>
      <c r="R412" s="8" t="str" cm="1">
        <f t="array" ref="R412">_xlfn.IFS(Q412&gt;40%,"Alta",Q412&gt;20%,"Média",Q412&lt;20%,"Baixa")</f>
        <v>Alta</v>
      </c>
    </row>
    <row r="413" spans="1:18" x14ac:dyDescent="0.25">
      <c r="A413" s="5">
        <v>80</v>
      </c>
      <c r="B413" s="6">
        <v>45756</v>
      </c>
      <c r="C413" s="8" t="s">
        <v>34</v>
      </c>
      <c r="D413" s="8" t="s">
        <v>35</v>
      </c>
      <c r="E413" s="8" t="s">
        <v>37</v>
      </c>
      <c r="F413" s="5">
        <v>5523</v>
      </c>
      <c r="G413" s="8" t="s">
        <v>19</v>
      </c>
      <c r="H413" s="8" t="s">
        <v>20</v>
      </c>
      <c r="I413" s="5">
        <v>7</v>
      </c>
      <c r="J413" s="10">
        <v>4030</v>
      </c>
      <c r="K413" s="10">
        <v>28210</v>
      </c>
      <c r="L413" s="10">
        <v>17311.849999999999</v>
      </c>
      <c r="M413" s="10">
        <v>10898.15</v>
      </c>
      <c r="N413" s="8" t="s">
        <v>32</v>
      </c>
      <c r="O413" s="8" t="s">
        <v>22</v>
      </c>
      <c r="P413" s="8" t="s">
        <v>44</v>
      </c>
      <c r="Q413" s="3">
        <f t="shared" si="7"/>
        <v>0.38632222616093581</v>
      </c>
      <c r="R413" s="8" t="str" cm="1">
        <f t="array" ref="R413">_xlfn.IFS(Q413&gt;40%,"Alta",Q413&gt;20%,"Média",Q413&lt;20%,"Baixa")</f>
        <v>Média</v>
      </c>
    </row>
    <row r="414" spans="1:18" x14ac:dyDescent="0.25">
      <c r="A414" s="5">
        <v>512</v>
      </c>
      <c r="B414" s="6">
        <v>45715</v>
      </c>
      <c r="C414" s="8" t="s">
        <v>47</v>
      </c>
      <c r="D414" s="8" t="s">
        <v>42</v>
      </c>
      <c r="E414" s="8" t="s">
        <v>37</v>
      </c>
      <c r="F414" s="5">
        <v>1660</v>
      </c>
      <c r="G414" s="8" t="s">
        <v>26</v>
      </c>
      <c r="H414" s="8" t="s">
        <v>38</v>
      </c>
      <c r="I414" s="5">
        <v>11</v>
      </c>
      <c r="J414" s="10">
        <v>2564</v>
      </c>
      <c r="K414" s="10">
        <v>28204</v>
      </c>
      <c r="L414" s="10">
        <v>11292.78</v>
      </c>
      <c r="M414" s="10">
        <v>16911.22</v>
      </c>
      <c r="N414" s="8" t="s">
        <v>21</v>
      </c>
      <c r="O414" s="8" t="s">
        <v>39</v>
      </c>
      <c r="P414" s="8" t="s">
        <v>40</v>
      </c>
      <c r="Q414" s="3">
        <f t="shared" si="7"/>
        <v>0.59960360232591126</v>
      </c>
      <c r="R414" s="8" t="str" cm="1">
        <f t="array" ref="R414">_xlfn.IFS(Q414&gt;40%,"Alta",Q414&gt;20%,"Média",Q414&lt;20%,"Baixa")</f>
        <v>Alta</v>
      </c>
    </row>
    <row r="415" spans="1:18" x14ac:dyDescent="0.25">
      <c r="A415" s="5">
        <v>466</v>
      </c>
      <c r="B415" s="6">
        <v>45836</v>
      </c>
      <c r="C415" s="8" t="s">
        <v>16</v>
      </c>
      <c r="D415" s="8" t="s">
        <v>30</v>
      </c>
      <c r="E415" s="8" t="s">
        <v>37</v>
      </c>
      <c r="F415" s="5">
        <v>7435</v>
      </c>
      <c r="G415" s="8" t="s">
        <v>26</v>
      </c>
      <c r="H415" s="8" t="s">
        <v>31</v>
      </c>
      <c r="I415" s="5">
        <v>11</v>
      </c>
      <c r="J415" s="10">
        <v>2557</v>
      </c>
      <c r="K415" s="10">
        <v>28127</v>
      </c>
      <c r="L415" s="10">
        <v>13984.49</v>
      </c>
      <c r="M415" s="10">
        <v>14142.51</v>
      </c>
      <c r="N415" s="8" t="s">
        <v>32</v>
      </c>
      <c r="O415" s="8" t="s">
        <v>39</v>
      </c>
      <c r="P415" s="8" t="s">
        <v>46</v>
      </c>
      <c r="Q415" s="3">
        <f t="shared" si="7"/>
        <v>0.50280904469015542</v>
      </c>
      <c r="R415" s="8" t="str" cm="1">
        <f t="array" ref="R415">_xlfn.IFS(Q415&gt;40%,"Alta",Q415&gt;20%,"Média",Q415&lt;20%,"Baixa")</f>
        <v>Alta</v>
      </c>
    </row>
    <row r="416" spans="1:18" x14ac:dyDescent="0.25">
      <c r="A416" s="5">
        <v>184</v>
      </c>
      <c r="B416" s="6">
        <v>45715</v>
      </c>
      <c r="C416" s="8" t="s">
        <v>47</v>
      </c>
      <c r="D416" s="8" t="s">
        <v>17</v>
      </c>
      <c r="E416" s="8" t="s">
        <v>37</v>
      </c>
      <c r="F416" s="5">
        <v>5632</v>
      </c>
      <c r="G416" s="8" t="s">
        <v>26</v>
      </c>
      <c r="H416" s="8" t="s">
        <v>27</v>
      </c>
      <c r="I416" s="5">
        <v>18</v>
      </c>
      <c r="J416" s="10">
        <v>1560</v>
      </c>
      <c r="K416" s="10">
        <v>28080</v>
      </c>
      <c r="L416" s="10">
        <v>20366.66</v>
      </c>
      <c r="M416" s="10">
        <v>7713.34</v>
      </c>
      <c r="N416" s="8" t="s">
        <v>32</v>
      </c>
      <c r="O416" s="8" t="s">
        <v>22</v>
      </c>
      <c r="P416" s="8" t="s">
        <v>40</v>
      </c>
      <c r="Q416" s="3">
        <f t="shared" si="7"/>
        <v>0.27469159544159544</v>
      </c>
      <c r="R416" s="8" t="str" cm="1">
        <f t="array" ref="R416">_xlfn.IFS(Q416&gt;40%,"Alta",Q416&gt;20%,"Média",Q416&lt;20%,"Baixa")</f>
        <v>Média</v>
      </c>
    </row>
    <row r="417" spans="1:18" x14ac:dyDescent="0.25">
      <c r="A417" s="5">
        <v>658</v>
      </c>
      <c r="B417" s="6">
        <v>45662</v>
      </c>
      <c r="C417" s="8" t="s">
        <v>47</v>
      </c>
      <c r="D417" s="8" t="s">
        <v>30</v>
      </c>
      <c r="E417" s="8" t="s">
        <v>37</v>
      </c>
      <c r="F417" s="5">
        <v>1796</v>
      </c>
      <c r="G417" s="8" t="s">
        <v>26</v>
      </c>
      <c r="H417" s="8" t="s">
        <v>43</v>
      </c>
      <c r="I417" s="5">
        <v>13</v>
      </c>
      <c r="J417" s="10">
        <v>2160</v>
      </c>
      <c r="K417" s="10">
        <v>28080</v>
      </c>
      <c r="L417" s="10">
        <v>18077.75</v>
      </c>
      <c r="M417" s="10">
        <v>10002.25</v>
      </c>
      <c r="N417" s="8" t="s">
        <v>21</v>
      </c>
      <c r="O417" s="8" t="s">
        <v>22</v>
      </c>
      <c r="P417" s="8" t="s">
        <v>40</v>
      </c>
      <c r="Q417" s="3">
        <f t="shared" si="7"/>
        <v>0.35620548433048432</v>
      </c>
      <c r="R417" s="8" t="str" cm="1">
        <f t="array" ref="R417">_xlfn.IFS(Q417&gt;40%,"Alta",Q417&gt;20%,"Média",Q417&lt;20%,"Baixa")</f>
        <v>Média</v>
      </c>
    </row>
    <row r="418" spans="1:18" x14ac:dyDescent="0.25">
      <c r="A418" s="5">
        <v>964</v>
      </c>
      <c r="B418" s="6">
        <v>45753</v>
      </c>
      <c r="C418" s="8" t="s">
        <v>47</v>
      </c>
      <c r="D418" s="8" t="s">
        <v>35</v>
      </c>
      <c r="E418" s="8" t="s">
        <v>18</v>
      </c>
      <c r="F418" s="5">
        <v>3967</v>
      </c>
      <c r="G418" s="8" t="s">
        <v>26</v>
      </c>
      <c r="H418" s="8" t="s">
        <v>43</v>
      </c>
      <c r="I418" s="5">
        <v>6</v>
      </c>
      <c r="J418" s="10">
        <v>4659</v>
      </c>
      <c r="K418" s="10">
        <v>27954</v>
      </c>
      <c r="L418" s="10">
        <v>15760.05</v>
      </c>
      <c r="M418" s="10">
        <v>12193.95</v>
      </c>
      <c r="N418" s="8" t="s">
        <v>21</v>
      </c>
      <c r="O418" s="8" t="s">
        <v>22</v>
      </c>
      <c r="P418" s="8" t="s">
        <v>29</v>
      </c>
      <c r="Q418" s="3">
        <f t="shared" si="7"/>
        <v>0.43621485297274099</v>
      </c>
      <c r="R418" s="8" t="str" cm="1">
        <f t="array" ref="R418">_xlfn.IFS(Q418&gt;40%,"Alta",Q418&gt;20%,"Média",Q418&lt;20%,"Baixa")</f>
        <v>Alta</v>
      </c>
    </row>
    <row r="419" spans="1:18" x14ac:dyDescent="0.25">
      <c r="A419" s="5">
        <v>591</v>
      </c>
      <c r="B419" s="6">
        <v>45664</v>
      </c>
      <c r="C419" s="8" t="s">
        <v>16</v>
      </c>
      <c r="D419" s="8" t="s">
        <v>45</v>
      </c>
      <c r="E419" s="8" t="s">
        <v>37</v>
      </c>
      <c r="F419" s="5">
        <v>1664</v>
      </c>
      <c r="G419" s="8" t="s">
        <v>36</v>
      </c>
      <c r="H419" s="8" t="s">
        <v>43</v>
      </c>
      <c r="I419" s="5">
        <v>12</v>
      </c>
      <c r="J419" s="10">
        <v>2322</v>
      </c>
      <c r="K419" s="10">
        <v>27864</v>
      </c>
      <c r="L419" s="10">
        <v>22112.28</v>
      </c>
      <c r="M419" s="10">
        <v>5751.72</v>
      </c>
      <c r="N419" s="8" t="s">
        <v>32</v>
      </c>
      <c r="O419" s="8" t="s">
        <v>33</v>
      </c>
      <c r="P419" s="8" t="s">
        <v>23</v>
      </c>
      <c r="Q419" s="3">
        <f t="shared" si="7"/>
        <v>0.20642118863049097</v>
      </c>
      <c r="R419" s="8" t="str" cm="1">
        <f t="array" ref="R419">_xlfn.IFS(Q419&gt;40%,"Alta",Q419&gt;20%,"Média",Q419&lt;20%,"Baixa")</f>
        <v>Média</v>
      </c>
    </row>
    <row r="420" spans="1:18" x14ac:dyDescent="0.25">
      <c r="A420" s="5">
        <v>877</v>
      </c>
      <c r="B420" s="6">
        <v>45837</v>
      </c>
      <c r="C420" s="8" t="s">
        <v>16</v>
      </c>
      <c r="D420" s="8" t="s">
        <v>17</v>
      </c>
      <c r="E420" s="8" t="s">
        <v>37</v>
      </c>
      <c r="F420" s="5">
        <v>7138</v>
      </c>
      <c r="G420" s="8" t="s">
        <v>19</v>
      </c>
      <c r="H420" s="8" t="s">
        <v>27</v>
      </c>
      <c r="I420" s="5">
        <v>10</v>
      </c>
      <c r="J420" s="10">
        <v>2775</v>
      </c>
      <c r="K420" s="10">
        <v>27750</v>
      </c>
      <c r="L420" s="10">
        <v>16148.12</v>
      </c>
      <c r="M420" s="10">
        <v>11601.88</v>
      </c>
      <c r="N420" s="8" t="s">
        <v>32</v>
      </c>
      <c r="O420" s="8" t="s">
        <v>39</v>
      </c>
      <c r="P420" s="8" t="s">
        <v>23</v>
      </c>
      <c r="Q420" s="3">
        <f t="shared" si="7"/>
        <v>0.41808576576576573</v>
      </c>
      <c r="R420" s="8" t="str" cm="1">
        <f t="array" ref="R420">_xlfn.IFS(Q420&gt;40%,"Alta",Q420&gt;20%,"Média",Q420&lt;20%,"Baixa")</f>
        <v>Alta</v>
      </c>
    </row>
    <row r="421" spans="1:18" x14ac:dyDescent="0.25">
      <c r="A421" s="5">
        <v>606</v>
      </c>
      <c r="B421" s="6">
        <v>45760</v>
      </c>
      <c r="C421" s="8" t="s">
        <v>34</v>
      </c>
      <c r="D421" s="8" t="s">
        <v>35</v>
      </c>
      <c r="E421" s="8" t="s">
        <v>25</v>
      </c>
      <c r="F421" s="5">
        <v>6535</v>
      </c>
      <c r="G421" s="8" t="s">
        <v>19</v>
      </c>
      <c r="H421" s="8" t="s">
        <v>38</v>
      </c>
      <c r="I421" s="5">
        <v>7</v>
      </c>
      <c r="J421" s="10">
        <v>3953</v>
      </c>
      <c r="K421" s="10">
        <v>27671</v>
      </c>
      <c r="L421" s="10">
        <v>15705.32</v>
      </c>
      <c r="M421" s="10">
        <v>11965.68</v>
      </c>
      <c r="N421" s="8" t="s">
        <v>32</v>
      </c>
      <c r="O421" s="8" t="s">
        <v>33</v>
      </c>
      <c r="P421" s="8" t="s">
        <v>40</v>
      </c>
      <c r="Q421" s="3">
        <f t="shared" si="7"/>
        <v>0.4324267283437534</v>
      </c>
      <c r="R421" s="8" t="str" cm="1">
        <f t="array" ref="R421">_xlfn.IFS(Q421&gt;40%,"Alta",Q421&gt;20%,"Média",Q421&lt;20%,"Baixa")</f>
        <v>Alta</v>
      </c>
    </row>
    <row r="422" spans="1:18" x14ac:dyDescent="0.25">
      <c r="A422" s="5">
        <v>839</v>
      </c>
      <c r="B422" s="6">
        <v>45800</v>
      </c>
      <c r="C422" s="8" t="s">
        <v>16</v>
      </c>
      <c r="D422" s="8" t="s">
        <v>45</v>
      </c>
      <c r="E422" s="8" t="s">
        <v>25</v>
      </c>
      <c r="F422" s="5">
        <v>4789</v>
      </c>
      <c r="G422" s="8" t="s">
        <v>19</v>
      </c>
      <c r="H422" s="8" t="s">
        <v>27</v>
      </c>
      <c r="I422" s="5">
        <v>16</v>
      </c>
      <c r="J422" s="10">
        <v>1728</v>
      </c>
      <c r="K422" s="10">
        <v>27648</v>
      </c>
      <c r="L422" s="10">
        <v>19084.59</v>
      </c>
      <c r="M422" s="10">
        <v>8563.41</v>
      </c>
      <c r="N422" s="8" t="s">
        <v>32</v>
      </c>
      <c r="O422" s="8" t="s">
        <v>33</v>
      </c>
      <c r="P422" s="8" t="s">
        <v>29</v>
      </c>
      <c r="Q422" s="3">
        <f t="shared" si="7"/>
        <v>0.30972981770833335</v>
      </c>
      <c r="R422" s="8" t="str" cm="1">
        <f t="array" ref="R422">_xlfn.IFS(Q422&gt;40%,"Alta",Q422&gt;20%,"Média",Q422&lt;20%,"Baixa")</f>
        <v>Média</v>
      </c>
    </row>
    <row r="423" spans="1:18" x14ac:dyDescent="0.25">
      <c r="A423" s="5">
        <v>960</v>
      </c>
      <c r="B423" s="6">
        <v>45803</v>
      </c>
      <c r="C423" s="8" t="s">
        <v>34</v>
      </c>
      <c r="D423" s="8" t="s">
        <v>42</v>
      </c>
      <c r="E423" s="8" t="s">
        <v>37</v>
      </c>
      <c r="F423" s="5">
        <v>1245</v>
      </c>
      <c r="G423" s="8" t="s">
        <v>36</v>
      </c>
      <c r="H423" s="8" t="s">
        <v>31</v>
      </c>
      <c r="I423" s="5">
        <v>7</v>
      </c>
      <c r="J423" s="10">
        <v>3945</v>
      </c>
      <c r="K423" s="10">
        <v>27615</v>
      </c>
      <c r="L423" s="10">
        <v>15813.29</v>
      </c>
      <c r="M423" s="10">
        <v>11801.71</v>
      </c>
      <c r="N423" s="8" t="s">
        <v>28</v>
      </c>
      <c r="O423" s="8" t="s">
        <v>33</v>
      </c>
      <c r="P423" s="8" t="s">
        <v>23</v>
      </c>
      <c r="Q423" s="3">
        <f t="shared" si="7"/>
        <v>0.42736592431649462</v>
      </c>
      <c r="R423" s="8" t="str" cm="1">
        <f t="array" ref="R423">_xlfn.IFS(Q423&gt;40%,"Alta",Q423&gt;20%,"Média",Q423&lt;20%,"Baixa")</f>
        <v>Alta</v>
      </c>
    </row>
    <row r="424" spans="1:18" x14ac:dyDescent="0.25">
      <c r="A424" s="5">
        <v>599</v>
      </c>
      <c r="B424" s="6">
        <v>45757</v>
      </c>
      <c r="C424" s="8" t="s">
        <v>16</v>
      </c>
      <c r="D424" s="8" t="s">
        <v>42</v>
      </c>
      <c r="E424" s="8" t="s">
        <v>25</v>
      </c>
      <c r="F424" s="5">
        <v>9602</v>
      </c>
      <c r="G424" s="8" t="s">
        <v>36</v>
      </c>
      <c r="H424" s="8" t="s">
        <v>38</v>
      </c>
      <c r="I424" s="5">
        <v>13</v>
      </c>
      <c r="J424" s="10">
        <v>2122</v>
      </c>
      <c r="K424" s="10">
        <v>27586</v>
      </c>
      <c r="L424" s="10">
        <v>13562.34</v>
      </c>
      <c r="M424" s="10">
        <v>14023.66</v>
      </c>
      <c r="N424" s="8" t="s">
        <v>32</v>
      </c>
      <c r="O424" s="8" t="s">
        <v>33</v>
      </c>
      <c r="P424" s="8" t="s">
        <v>46</v>
      </c>
      <c r="Q424" s="3">
        <f t="shared" si="7"/>
        <v>0.50836148771115786</v>
      </c>
      <c r="R424" s="8" t="str" cm="1">
        <f t="array" ref="R424">_xlfn.IFS(Q424&gt;40%,"Alta",Q424&gt;20%,"Média",Q424&lt;20%,"Baixa")</f>
        <v>Alta</v>
      </c>
    </row>
    <row r="425" spans="1:18" x14ac:dyDescent="0.25">
      <c r="A425" s="5">
        <v>407</v>
      </c>
      <c r="B425" s="6">
        <v>45737</v>
      </c>
      <c r="C425" s="8" t="s">
        <v>24</v>
      </c>
      <c r="D425" s="8" t="s">
        <v>17</v>
      </c>
      <c r="E425" s="8" t="s">
        <v>37</v>
      </c>
      <c r="F425" s="5">
        <v>1004</v>
      </c>
      <c r="G425" s="8" t="s">
        <v>26</v>
      </c>
      <c r="H425" s="8" t="s">
        <v>20</v>
      </c>
      <c r="I425" s="5">
        <v>8</v>
      </c>
      <c r="J425" s="10">
        <v>3447</v>
      </c>
      <c r="K425" s="10">
        <v>27576</v>
      </c>
      <c r="L425" s="10">
        <v>17522.599999999999</v>
      </c>
      <c r="M425" s="10">
        <v>10053.4</v>
      </c>
      <c r="N425" s="8" t="s">
        <v>28</v>
      </c>
      <c r="O425" s="8" t="s">
        <v>22</v>
      </c>
      <c r="P425" s="8" t="s">
        <v>29</v>
      </c>
      <c r="Q425" s="3">
        <f t="shared" si="7"/>
        <v>0.36457064113722076</v>
      </c>
      <c r="R425" s="8" t="str" cm="1">
        <f t="array" ref="R425">_xlfn.IFS(Q425&gt;40%,"Alta",Q425&gt;20%,"Média",Q425&lt;20%,"Baixa")</f>
        <v>Média</v>
      </c>
    </row>
    <row r="426" spans="1:18" x14ac:dyDescent="0.25">
      <c r="A426" s="5">
        <v>1000</v>
      </c>
      <c r="B426" s="6">
        <v>45662</v>
      </c>
      <c r="C426" s="8" t="s">
        <v>34</v>
      </c>
      <c r="D426" s="8" t="s">
        <v>35</v>
      </c>
      <c r="E426" s="8" t="s">
        <v>41</v>
      </c>
      <c r="F426" s="5">
        <v>6908</v>
      </c>
      <c r="G426" s="8" t="s">
        <v>19</v>
      </c>
      <c r="H426" s="8" t="s">
        <v>38</v>
      </c>
      <c r="I426" s="5">
        <v>13</v>
      </c>
      <c r="J426" s="10">
        <v>2118</v>
      </c>
      <c r="K426" s="10">
        <v>27534</v>
      </c>
      <c r="L426" s="10">
        <v>19813.57</v>
      </c>
      <c r="M426" s="10">
        <v>7720.43</v>
      </c>
      <c r="N426" s="8" t="s">
        <v>28</v>
      </c>
      <c r="O426" s="8" t="s">
        <v>39</v>
      </c>
      <c r="P426" s="8" t="s">
        <v>46</v>
      </c>
      <c r="Q426" s="3">
        <f t="shared" si="7"/>
        <v>0.28039623737924024</v>
      </c>
      <c r="R426" s="8" t="str" cm="1">
        <f t="array" ref="R426">_xlfn.IFS(Q426&gt;40%,"Alta",Q426&gt;20%,"Média",Q426&lt;20%,"Baixa")</f>
        <v>Média</v>
      </c>
    </row>
    <row r="427" spans="1:18" x14ac:dyDescent="0.25">
      <c r="A427" s="5">
        <v>173</v>
      </c>
      <c r="B427" s="6">
        <v>45715</v>
      </c>
      <c r="C427" s="8" t="s">
        <v>34</v>
      </c>
      <c r="D427" s="8" t="s">
        <v>45</v>
      </c>
      <c r="E427" s="8" t="s">
        <v>37</v>
      </c>
      <c r="F427" s="5">
        <v>9377</v>
      </c>
      <c r="G427" s="8" t="s">
        <v>19</v>
      </c>
      <c r="H427" s="8" t="s">
        <v>43</v>
      </c>
      <c r="I427" s="5">
        <v>11</v>
      </c>
      <c r="J427" s="10">
        <v>2498</v>
      </c>
      <c r="K427" s="10">
        <v>27478</v>
      </c>
      <c r="L427" s="10">
        <v>18269</v>
      </c>
      <c r="M427" s="10">
        <v>9209</v>
      </c>
      <c r="N427" s="8" t="s">
        <v>28</v>
      </c>
      <c r="O427" s="8" t="s">
        <v>33</v>
      </c>
      <c r="P427" s="8" t="s">
        <v>23</v>
      </c>
      <c r="Q427" s="3">
        <f t="shared" si="7"/>
        <v>0.33514083994468302</v>
      </c>
      <c r="R427" s="8" t="str" cm="1">
        <f t="array" ref="R427">_xlfn.IFS(Q427&gt;40%,"Alta",Q427&gt;20%,"Média",Q427&lt;20%,"Baixa")</f>
        <v>Média</v>
      </c>
    </row>
    <row r="428" spans="1:18" x14ac:dyDescent="0.25">
      <c r="A428" s="5">
        <v>866</v>
      </c>
      <c r="B428" s="6">
        <v>45685</v>
      </c>
      <c r="C428" s="8" t="s">
        <v>24</v>
      </c>
      <c r="D428" s="8" t="s">
        <v>17</v>
      </c>
      <c r="E428" s="8" t="s">
        <v>41</v>
      </c>
      <c r="F428" s="5">
        <v>2867</v>
      </c>
      <c r="G428" s="8" t="s">
        <v>36</v>
      </c>
      <c r="H428" s="8" t="s">
        <v>20</v>
      </c>
      <c r="I428" s="5">
        <v>16</v>
      </c>
      <c r="J428" s="10">
        <v>1711</v>
      </c>
      <c r="K428" s="10">
        <v>27376</v>
      </c>
      <c r="L428" s="10">
        <v>16313.98</v>
      </c>
      <c r="M428" s="10">
        <v>11062.02</v>
      </c>
      <c r="N428" s="8" t="s">
        <v>32</v>
      </c>
      <c r="O428" s="8" t="s">
        <v>33</v>
      </c>
      <c r="P428" s="8" t="s">
        <v>46</v>
      </c>
      <c r="Q428" s="3">
        <f t="shared" si="7"/>
        <v>0.40407729398012859</v>
      </c>
      <c r="R428" s="8" t="str" cm="1">
        <f t="array" ref="R428">_xlfn.IFS(Q428&gt;40%,"Alta",Q428&gt;20%,"Média",Q428&lt;20%,"Baixa")</f>
        <v>Alta</v>
      </c>
    </row>
    <row r="429" spans="1:18" x14ac:dyDescent="0.25">
      <c r="A429" s="5">
        <v>818</v>
      </c>
      <c r="B429" s="6">
        <v>45710</v>
      </c>
      <c r="C429" s="8" t="s">
        <v>34</v>
      </c>
      <c r="D429" s="8" t="s">
        <v>45</v>
      </c>
      <c r="E429" s="8" t="s">
        <v>37</v>
      </c>
      <c r="F429" s="5">
        <v>3600</v>
      </c>
      <c r="G429" s="8" t="s">
        <v>36</v>
      </c>
      <c r="H429" s="8" t="s">
        <v>20</v>
      </c>
      <c r="I429" s="5">
        <v>6</v>
      </c>
      <c r="J429" s="10">
        <v>4556</v>
      </c>
      <c r="K429" s="10">
        <v>27336</v>
      </c>
      <c r="L429" s="10">
        <v>15209.42</v>
      </c>
      <c r="M429" s="10">
        <v>12126.58</v>
      </c>
      <c r="N429" s="8" t="s">
        <v>21</v>
      </c>
      <c r="O429" s="8" t="s">
        <v>39</v>
      </c>
      <c r="P429" s="8" t="s">
        <v>44</v>
      </c>
      <c r="Q429" s="3">
        <f t="shared" si="7"/>
        <v>0.44361208662569507</v>
      </c>
      <c r="R429" s="8" t="str" cm="1">
        <f t="array" ref="R429">_xlfn.IFS(Q429&gt;40%,"Alta",Q429&gt;20%,"Média",Q429&lt;20%,"Baixa")</f>
        <v>Alta</v>
      </c>
    </row>
    <row r="430" spans="1:18" x14ac:dyDescent="0.25">
      <c r="A430" s="5">
        <v>217</v>
      </c>
      <c r="B430" s="6">
        <v>45690</v>
      </c>
      <c r="C430" s="8" t="s">
        <v>47</v>
      </c>
      <c r="D430" s="8" t="s">
        <v>17</v>
      </c>
      <c r="E430" s="8" t="s">
        <v>37</v>
      </c>
      <c r="F430" s="5">
        <v>5903</v>
      </c>
      <c r="G430" s="8" t="s">
        <v>19</v>
      </c>
      <c r="H430" s="8" t="s">
        <v>20</v>
      </c>
      <c r="I430" s="5">
        <v>14</v>
      </c>
      <c r="J430" s="10">
        <v>1951</v>
      </c>
      <c r="K430" s="10">
        <v>27314</v>
      </c>
      <c r="L430" s="10">
        <v>15046.36</v>
      </c>
      <c r="M430" s="10">
        <v>12267.64</v>
      </c>
      <c r="N430" s="8" t="s">
        <v>28</v>
      </c>
      <c r="O430" s="8" t="s">
        <v>39</v>
      </c>
      <c r="P430" s="8" t="s">
        <v>44</v>
      </c>
      <c r="Q430" s="3">
        <f t="shared" si="7"/>
        <v>0.44913377754997436</v>
      </c>
      <c r="R430" s="8" t="str" cm="1">
        <f t="array" ref="R430">_xlfn.IFS(Q430&gt;40%,"Alta",Q430&gt;20%,"Média",Q430&lt;20%,"Baixa")</f>
        <v>Alta</v>
      </c>
    </row>
    <row r="431" spans="1:18" x14ac:dyDescent="0.25">
      <c r="A431" s="5">
        <v>430</v>
      </c>
      <c r="B431" s="6">
        <v>45772</v>
      </c>
      <c r="C431" s="8" t="s">
        <v>47</v>
      </c>
      <c r="D431" s="8" t="s">
        <v>42</v>
      </c>
      <c r="E431" s="8" t="s">
        <v>25</v>
      </c>
      <c r="F431" s="5">
        <v>5261</v>
      </c>
      <c r="G431" s="8" t="s">
        <v>26</v>
      </c>
      <c r="H431" s="8" t="s">
        <v>20</v>
      </c>
      <c r="I431" s="5">
        <v>17</v>
      </c>
      <c r="J431" s="10">
        <v>1604</v>
      </c>
      <c r="K431" s="10">
        <v>27268</v>
      </c>
      <c r="L431" s="10">
        <v>16783.349999999999</v>
      </c>
      <c r="M431" s="10">
        <v>10484.65</v>
      </c>
      <c r="N431" s="8" t="s">
        <v>21</v>
      </c>
      <c r="O431" s="8" t="s">
        <v>22</v>
      </c>
      <c r="P431" s="8" t="s">
        <v>23</v>
      </c>
      <c r="Q431" s="3">
        <f t="shared" si="7"/>
        <v>0.38450381399442568</v>
      </c>
      <c r="R431" s="8" t="str" cm="1">
        <f t="array" ref="R431">_xlfn.IFS(Q431&gt;40%,"Alta",Q431&gt;20%,"Média",Q431&lt;20%,"Baixa")</f>
        <v>Média</v>
      </c>
    </row>
    <row r="432" spans="1:18" x14ac:dyDescent="0.25">
      <c r="A432" s="5">
        <v>593</v>
      </c>
      <c r="B432" s="6">
        <v>45776</v>
      </c>
      <c r="C432" s="8" t="s">
        <v>47</v>
      </c>
      <c r="D432" s="8" t="s">
        <v>35</v>
      </c>
      <c r="E432" s="8" t="s">
        <v>41</v>
      </c>
      <c r="F432" s="5">
        <v>6568</v>
      </c>
      <c r="G432" s="8" t="s">
        <v>19</v>
      </c>
      <c r="H432" s="8" t="s">
        <v>43</v>
      </c>
      <c r="I432" s="5">
        <v>6</v>
      </c>
      <c r="J432" s="10">
        <v>4543</v>
      </c>
      <c r="K432" s="10">
        <v>27258</v>
      </c>
      <c r="L432" s="10">
        <v>16334.62</v>
      </c>
      <c r="M432" s="10">
        <v>10923.38</v>
      </c>
      <c r="N432" s="8" t="s">
        <v>28</v>
      </c>
      <c r="O432" s="8" t="s">
        <v>22</v>
      </c>
      <c r="P432" s="8" t="s">
        <v>40</v>
      </c>
      <c r="Q432" s="3">
        <f t="shared" si="7"/>
        <v>0.40074033311321444</v>
      </c>
      <c r="R432" s="8" t="str" cm="1">
        <f t="array" ref="R432">_xlfn.IFS(Q432&gt;40%,"Alta",Q432&gt;20%,"Média",Q432&lt;20%,"Baixa")</f>
        <v>Alta</v>
      </c>
    </row>
    <row r="433" spans="1:18" x14ac:dyDescent="0.25">
      <c r="A433" s="5">
        <v>556</v>
      </c>
      <c r="B433" s="6">
        <v>45785</v>
      </c>
      <c r="C433" s="8" t="s">
        <v>47</v>
      </c>
      <c r="D433" s="8" t="s">
        <v>35</v>
      </c>
      <c r="E433" s="8" t="s">
        <v>37</v>
      </c>
      <c r="F433" s="5">
        <v>4133</v>
      </c>
      <c r="G433" s="8" t="s">
        <v>19</v>
      </c>
      <c r="H433" s="8" t="s">
        <v>43</v>
      </c>
      <c r="I433" s="5">
        <v>14</v>
      </c>
      <c r="J433" s="10">
        <v>1945</v>
      </c>
      <c r="K433" s="10">
        <v>27230</v>
      </c>
      <c r="L433" s="10">
        <v>16146.65</v>
      </c>
      <c r="M433" s="10">
        <v>11083.35</v>
      </c>
      <c r="N433" s="8" t="s">
        <v>28</v>
      </c>
      <c r="O433" s="8" t="s">
        <v>22</v>
      </c>
      <c r="P433" s="8" t="s">
        <v>40</v>
      </c>
      <c r="Q433" s="3">
        <f t="shared" si="7"/>
        <v>0.40702717590892401</v>
      </c>
      <c r="R433" s="8" t="str" cm="1">
        <f t="array" ref="R433">_xlfn.IFS(Q433&gt;40%,"Alta",Q433&gt;20%,"Média",Q433&lt;20%,"Baixa")</f>
        <v>Alta</v>
      </c>
    </row>
    <row r="434" spans="1:18" x14ac:dyDescent="0.25">
      <c r="A434" s="5">
        <v>33</v>
      </c>
      <c r="B434" s="6">
        <v>45709</v>
      </c>
      <c r="C434" s="8" t="s">
        <v>16</v>
      </c>
      <c r="D434" s="8" t="s">
        <v>35</v>
      </c>
      <c r="E434" s="8" t="s">
        <v>41</v>
      </c>
      <c r="F434" s="5">
        <v>2157</v>
      </c>
      <c r="G434" s="8" t="s">
        <v>19</v>
      </c>
      <c r="H434" s="8" t="s">
        <v>43</v>
      </c>
      <c r="I434" s="5">
        <v>7</v>
      </c>
      <c r="J434" s="10">
        <v>3881</v>
      </c>
      <c r="K434" s="10">
        <v>27167</v>
      </c>
      <c r="L434" s="10">
        <v>17255.84</v>
      </c>
      <c r="M434" s="10">
        <v>9911.16</v>
      </c>
      <c r="N434" s="8" t="s">
        <v>28</v>
      </c>
      <c r="O434" s="8" t="s">
        <v>39</v>
      </c>
      <c r="P434" s="8" t="s">
        <v>40</v>
      </c>
      <c r="Q434" s="3">
        <f t="shared" si="7"/>
        <v>0.36482349909817058</v>
      </c>
      <c r="R434" s="8" t="str" cm="1">
        <f t="array" ref="R434">_xlfn.IFS(Q434&gt;40%,"Alta",Q434&gt;20%,"Média",Q434&lt;20%,"Baixa")</f>
        <v>Média</v>
      </c>
    </row>
    <row r="435" spans="1:18" x14ac:dyDescent="0.25">
      <c r="A435" s="5">
        <v>870</v>
      </c>
      <c r="B435" s="6">
        <v>45766</v>
      </c>
      <c r="C435" s="8" t="s">
        <v>47</v>
      </c>
      <c r="D435" s="8" t="s">
        <v>35</v>
      </c>
      <c r="E435" s="8" t="s">
        <v>25</v>
      </c>
      <c r="F435" s="5">
        <v>2138</v>
      </c>
      <c r="G435" s="8" t="s">
        <v>26</v>
      </c>
      <c r="H435" s="8" t="s">
        <v>20</v>
      </c>
      <c r="I435" s="5">
        <v>13</v>
      </c>
      <c r="J435" s="10">
        <v>2084</v>
      </c>
      <c r="K435" s="10">
        <v>27092</v>
      </c>
      <c r="L435" s="10">
        <v>16372.41</v>
      </c>
      <c r="M435" s="10">
        <v>10719.59</v>
      </c>
      <c r="N435" s="8" t="s">
        <v>21</v>
      </c>
      <c r="O435" s="8" t="s">
        <v>33</v>
      </c>
      <c r="P435" s="8" t="s">
        <v>46</v>
      </c>
      <c r="Q435" s="3">
        <f t="shared" si="7"/>
        <v>0.39567363059205668</v>
      </c>
      <c r="R435" s="8" t="str" cm="1">
        <f t="array" ref="R435">_xlfn.IFS(Q435&gt;40%,"Alta",Q435&gt;20%,"Média",Q435&lt;20%,"Baixa")</f>
        <v>Média</v>
      </c>
    </row>
    <row r="436" spans="1:18" x14ac:dyDescent="0.25">
      <c r="A436" s="5">
        <v>685</v>
      </c>
      <c r="B436" s="6">
        <v>45780</v>
      </c>
      <c r="C436" s="8" t="s">
        <v>47</v>
      </c>
      <c r="D436" s="8" t="s">
        <v>42</v>
      </c>
      <c r="E436" s="8" t="s">
        <v>25</v>
      </c>
      <c r="F436" s="5">
        <v>2516</v>
      </c>
      <c r="G436" s="8" t="s">
        <v>19</v>
      </c>
      <c r="H436" s="8" t="s">
        <v>27</v>
      </c>
      <c r="I436" s="5">
        <v>12</v>
      </c>
      <c r="J436" s="10">
        <v>2256</v>
      </c>
      <c r="K436" s="10">
        <v>27072</v>
      </c>
      <c r="L436" s="10">
        <v>18072.32</v>
      </c>
      <c r="M436" s="10">
        <v>8999.68</v>
      </c>
      <c r="N436" s="8" t="s">
        <v>21</v>
      </c>
      <c r="O436" s="8" t="s">
        <v>33</v>
      </c>
      <c r="P436" s="8" t="s">
        <v>46</v>
      </c>
      <c r="Q436" s="3">
        <f t="shared" si="7"/>
        <v>0.33243498817966904</v>
      </c>
      <c r="R436" s="8" t="str" cm="1">
        <f t="array" ref="R436">_xlfn.IFS(Q436&gt;40%,"Alta",Q436&gt;20%,"Média",Q436&lt;20%,"Baixa")</f>
        <v>Média</v>
      </c>
    </row>
    <row r="437" spans="1:18" x14ac:dyDescent="0.25">
      <c r="A437" s="5">
        <v>4</v>
      </c>
      <c r="B437" s="6">
        <v>45824</v>
      </c>
      <c r="C437" s="8" t="s">
        <v>34</v>
      </c>
      <c r="D437" s="8" t="s">
        <v>35</v>
      </c>
      <c r="E437" s="8" t="s">
        <v>18</v>
      </c>
      <c r="F437" s="5">
        <v>6563</v>
      </c>
      <c r="G437" s="8" t="s">
        <v>36</v>
      </c>
      <c r="H437" s="8" t="s">
        <v>31</v>
      </c>
      <c r="I437" s="5">
        <v>12</v>
      </c>
      <c r="J437" s="10">
        <v>2246</v>
      </c>
      <c r="K437" s="10">
        <v>26952</v>
      </c>
      <c r="L437" s="10">
        <v>12164.59</v>
      </c>
      <c r="M437" s="10">
        <v>14787.41</v>
      </c>
      <c r="N437" s="8" t="s">
        <v>32</v>
      </c>
      <c r="O437" s="8" t="s">
        <v>33</v>
      </c>
      <c r="P437" s="8" t="s">
        <v>29</v>
      </c>
      <c r="Q437" s="3">
        <f t="shared" si="7"/>
        <v>0.54865724250519443</v>
      </c>
      <c r="R437" s="8" t="str" cm="1">
        <f t="array" ref="R437">_xlfn.IFS(Q437&gt;40%,"Alta",Q437&gt;20%,"Média",Q437&lt;20%,"Baixa")</f>
        <v>Alta</v>
      </c>
    </row>
    <row r="438" spans="1:18" x14ac:dyDescent="0.25">
      <c r="A438" s="5">
        <v>799</v>
      </c>
      <c r="B438" s="6">
        <v>45825</v>
      </c>
      <c r="C438" s="8" t="s">
        <v>24</v>
      </c>
      <c r="D438" s="8" t="s">
        <v>17</v>
      </c>
      <c r="E438" s="8" t="s">
        <v>18</v>
      </c>
      <c r="F438" s="5">
        <v>1204</v>
      </c>
      <c r="G438" s="8" t="s">
        <v>36</v>
      </c>
      <c r="H438" s="8" t="s">
        <v>43</v>
      </c>
      <c r="I438" s="5">
        <v>6</v>
      </c>
      <c r="J438" s="10">
        <v>4491</v>
      </c>
      <c r="K438" s="10">
        <v>26946</v>
      </c>
      <c r="L438" s="10">
        <v>20260.43</v>
      </c>
      <c r="M438" s="10">
        <v>6685.57</v>
      </c>
      <c r="N438" s="8" t="s">
        <v>21</v>
      </c>
      <c r="O438" s="8" t="s">
        <v>39</v>
      </c>
      <c r="P438" s="8" t="s">
        <v>23</v>
      </c>
      <c r="Q438" s="3">
        <f t="shared" si="7"/>
        <v>0.2481099235508053</v>
      </c>
      <c r="R438" s="8" t="str" cm="1">
        <f t="array" ref="R438">_xlfn.IFS(Q438&gt;40%,"Alta",Q438&gt;20%,"Média",Q438&lt;20%,"Baixa")</f>
        <v>Média</v>
      </c>
    </row>
    <row r="439" spans="1:18" x14ac:dyDescent="0.25">
      <c r="A439" s="5">
        <v>910</v>
      </c>
      <c r="B439" s="6">
        <v>45701</v>
      </c>
      <c r="C439" s="8" t="s">
        <v>34</v>
      </c>
      <c r="D439" s="8" t="s">
        <v>35</v>
      </c>
      <c r="E439" s="8" t="s">
        <v>25</v>
      </c>
      <c r="F439" s="5">
        <v>4151</v>
      </c>
      <c r="G439" s="8" t="s">
        <v>36</v>
      </c>
      <c r="H439" s="8" t="s">
        <v>38</v>
      </c>
      <c r="I439" s="5">
        <v>16</v>
      </c>
      <c r="J439" s="10">
        <v>1683</v>
      </c>
      <c r="K439" s="10">
        <v>26928</v>
      </c>
      <c r="L439" s="10">
        <v>20059.96</v>
      </c>
      <c r="M439" s="10">
        <v>6868.04</v>
      </c>
      <c r="N439" s="8" t="s">
        <v>28</v>
      </c>
      <c r="O439" s="8" t="s">
        <v>33</v>
      </c>
      <c r="P439" s="8" t="s">
        <v>29</v>
      </c>
      <c r="Q439" s="3">
        <f t="shared" si="7"/>
        <v>0.25505199049316696</v>
      </c>
      <c r="R439" s="8" t="str" cm="1">
        <f t="array" ref="R439">_xlfn.IFS(Q439&gt;40%,"Alta",Q439&gt;20%,"Média",Q439&lt;20%,"Baixa")</f>
        <v>Média</v>
      </c>
    </row>
    <row r="440" spans="1:18" x14ac:dyDescent="0.25">
      <c r="A440" s="5">
        <v>263</v>
      </c>
      <c r="B440" s="6">
        <v>45687</v>
      </c>
      <c r="C440" s="8" t="s">
        <v>24</v>
      </c>
      <c r="D440" s="8" t="s">
        <v>42</v>
      </c>
      <c r="E440" s="8" t="s">
        <v>25</v>
      </c>
      <c r="F440" s="5">
        <v>8930</v>
      </c>
      <c r="G440" s="8" t="s">
        <v>36</v>
      </c>
      <c r="H440" s="8" t="s">
        <v>20</v>
      </c>
      <c r="I440" s="5">
        <v>14</v>
      </c>
      <c r="J440" s="10">
        <v>1917</v>
      </c>
      <c r="K440" s="10">
        <v>26838</v>
      </c>
      <c r="L440" s="10">
        <v>14944.72</v>
      </c>
      <c r="M440" s="10">
        <v>11893.28</v>
      </c>
      <c r="N440" s="8" t="s">
        <v>32</v>
      </c>
      <c r="O440" s="8" t="s">
        <v>33</v>
      </c>
      <c r="P440" s="8" t="s">
        <v>40</v>
      </c>
      <c r="Q440" s="3">
        <f t="shared" si="7"/>
        <v>0.44315075639019302</v>
      </c>
      <c r="R440" s="8" t="str" cm="1">
        <f t="array" ref="R440">_xlfn.IFS(Q440&gt;40%,"Alta",Q440&gt;20%,"Média",Q440&lt;20%,"Baixa")</f>
        <v>Alta</v>
      </c>
    </row>
    <row r="441" spans="1:18" x14ac:dyDescent="0.25">
      <c r="A441" s="5">
        <v>992</v>
      </c>
      <c r="B441" s="6">
        <v>45685</v>
      </c>
      <c r="C441" s="8" t="s">
        <v>24</v>
      </c>
      <c r="D441" s="8" t="s">
        <v>17</v>
      </c>
      <c r="E441" s="8" t="s">
        <v>37</v>
      </c>
      <c r="F441" s="5">
        <v>7354</v>
      </c>
      <c r="G441" s="8" t="s">
        <v>36</v>
      </c>
      <c r="H441" s="8" t="s">
        <v>43</v>
      </c>
      <c r="I441" s="5">
        <v>9</v>
      </c>
      <c r="J441" s="10">
        <v>2957</v>
      </c>
      <c r="K441" s="10">
        <v>26613</v>
      </c>
      <c r="L441" s="10">
        <v>17325.84</v>
      </c>
      <c r="M441" s="10">
        <v>9287.16</v>
      </c>
      <c r="N441" s="8" t="s">
        <v>32</v>
      </c>
      <c r="O441" s="8" t="s">
        <v>22</v>
      </c>
      <c r="P441" s="8" t="s">
        <v>44</v>
      </c>
      <c r="Q441" s="3">
        <f t="shared" si="7"/>
        <v>0.34897080374253187</v>
      </c>
      <c r="R441" s="8" t="str" cm="1">
        <f t="array" ref="R441">_xlfn.IFS(Q441&gt;40%,"Alta",Q441&gt;20%,"Média",Q441&lt;20%,"Baixa")</f>
        <v>Média</v>
      </c>
    </row>
    <row r="442" spans="1:18" x14ac:dyDescent="0.25">
      <c r="A442" s="5">
        <v>54</v>
      </c>
      <c r="B442" s="6">
        <v>45726</v>
      </c>
      <c r="C442" s="8" t="s">
        <v>24</v>
      </c>
      <c r="D442" s="8" t="s">
        <v>45</v>
      </c>
      <c r="E442" s="8" t="s">
        <v>25</v>
      </c>
      <c r="F442" s="5">
        <v>3862</v>
      </c>
      <c r="G442" s="8" t="s">
        <v>26</v>
      </c>
      <c r="H442" s="8" t="s">
        <v>38</v>
      </c>
      <c r="I442" s="5">
        <v>7</v>
      </c>
      <c r="J442" s="10">
        <v>3745</v>
      </c>
      <c r="K442" s="10">
        <v>26215</v>
      </c>
      <c r="L442" s="10">
        <v>11917.15</v>
      </c>
      <c r="M442" s="10">
        <v>14297.85</v>
      </c>
      <c r="N442" s="8" t="s">
        <v>32</v>
      </c>
      <c r="O442" s="8" t="s">
        <v>22</v>
      </c>
      <c r="P442" s="8" t="s">
        <v>40</v>
      </c>
      <c r="Q442" s="3">
        <f t="shared" si="7"/>
        <v>0.54540720961281708</v>
      </c>
      <c r="R442" s="8" t="str" cm="1">
        <f t="array" ref="R442">_xlfn.IFS(Q442&gt;40%,"Alta",Q442&gt;20%,"Média",Q442&lt;20%,"Baixa")</f>
        <v>Alta</v>
      </c>
    </row>
    <row r="443" spans="1:18" x14ac:dyDescent="0.25">
      <c r="A443" s="5">
        <v>168</v>
      </c>
      <c r="B443" s="6">
        <v>45731</v>
      </c>
      <c r="C443" s="8" t="s">
        <v>24</v>
      </c>
      <c r="D443" s="8" t="s">
        <v>35</v>
      </c>
      <c r="E443" s="8" t="s">
        <v>37</v>
      </c>
      <c r="F443" s="5">
        <v>8162</v>
      </c>
      <c r="G443" s="8" t="s">
        <v>19</v>
      </c>
      <c r="H443" s="8" t="s">
        <v>43</v>
      </c>
      <c r="I443" s="5">
        <v>19</v>
      </c>
      <c r="J443" s="10">
        <v>1378</v>
      </c>
      <c r="K443" s="10">
        <v>26182</v>
      </c>
      <c r="L443" s="10">
        <v>11964.5</v>
      </c>
      <c r="M443" s="10">
        <v>14217.5</v>
      </c>
      <c r="N443" s="8" t="s">
        <v>32</v>
      </c>
      <c r="O443" s="8" t="s">
        <v>33</v>
      </c>
      <c r="P443" s="8" t="s">
        <v>29</v>
      </c>
      <c r="Q443" s="3">
        <f t="shared" si="7"/>
        <v>0.54302574287678562</v>
      </c>
      <c r="R443" s="8" t="str" cm="1">
        <f t="array" ref="R443">_xlfn.IFS(Q443&gt;40%,"Alta",Q443&gt;20%,"Média",Q443&lt;20%,"Baixa")</f>
        <v>Alta</v>
      </c>
    </row>
    <row r="444" spans="1:18" x14ac:dyDescent="0.25">
      <c r="A444" s="5">
        <v>693</v>
      </c>
      <c r="B444" s="6">
        <v>45714</v>
      </c>
      <c r="C444" s="8" t="s">
        <v>24</v>
      </c>
      <c r="D444" s="8" t="s">
        <v>42</v>
      </c>
      <c r="E444" s="8" t="s">
        <v>18</v>
      </c>
      <c r="F444" s="5">
        <v>1072</v>
      </c>
      <c r="G444" s="8" t="s">
        <v>26</v>
      </c>
      <c r="H444" s="8" t="s">
        <v>20</v>
      </c>
      <c r="I444" s="5">
        <v>7</v>
      </c>
      <c r="J444" s="10">
        <v>3735</v>
      </c>
      <c r="K444" s="10">
        <v>26145</v>
      </c>
      <c r="L444" s="10">
        <v>19452.490000000002</v>
      </c>
      <c r="M444" s="10">
        <v>6692.51</v>
      </c>
      <c r="N444" s="8" t="s">
        <v>32</v>
      </c>
      <c r="O444" s="8" t="s">
        <v>39</v>
      </c>
      <c r="P444" s="8" t="s">
        <v>29</v>
      </c>
      <c r="Q444" s="3">
        <f t="shared" si="7"/>
        <v>0.25597666857907825</v>
      </c>
      <c r="R444" s="8" t="str" cm="1">
        <f t="array" ref="R444">_xlfn.IFS(Q444&gt;40%,"Alta",Q444&gt;20%,"Média",Q444&lt;20%,"Baixa")</f>
        <v>Média</v>
      </c>
    </row>
    <row r="445" spans="1:18" x14ac:dyDescent="0.25">
      <c r="A445" s="5">
        <v>416</v>
      </c>
      <c r="B445" s="6">
        <v>45771</v>
      </c>
      <c r="C445" s="8" t="s">
        <v>24</v>
      </c>
      <c r="D445" s="8" t="s">
        <v>17</v>
      </c>
      <c r="E445" s="8" t="s">
        <v>37</v>
      </c>
      <c r="F445" s="5">
        <v>1002</v>
      </c>
      <c r="G445" s="8" t="s">
        <v>19</v>
      </c>
      <c r="H445" s="8" t="s">
        <v>20</v>
      </c>
      <c r="I445" s="5">
        <v>7</v>
      </c>
      <c r="J445" s="10">
        <v>3722</v>
      </c>
      <c r="K445" s="10">
        <v>26054</v>
      </c>
      <c r="L445" s="10">
        <v>15869.7</v>
      </c>
      <c r="M445" s="10">
        <v>10184.299999999999</v>
      </c>
      <c r="N445" s="8" t="s">
        <v>21</v>
      </c>
      <c r="O445" s="8" t="s">
        <v>33</v>
      </c>
      <c r="P445" s="8" t="s">
        <v>44</v>
      </c>
      <c r="Q445" s="3">
        <f t="shared" si="7"/>
        <v>0.39089199355185383</v>
      </c>
      <c r="R445" s="8" t="str" cm="1">
        <f t="array" ref="R445">_xlfn.IFS(Q445&gt;40%,"Alta",Q445&gt;20%,"Média",Q445&lt;20%,"Baixa")</f>
        <v>Média</v>
      </c>
    </row>
    <row r="446" spans="1:18" x14ac:dyDescent="0.25">
      <c r="A446" s="5">
        <v>487</v>
      </c>
      <c r="B446" s="6">
        <v>45728</v>
      </c>
      <c r="C446" s="8" t="s">
        <v>16</v>
      </c>
      <c r="D446" s="8" t="s">
        <v>42</v>
      </c>
      <c r="E446" s="8" t="s">
        <v>41</v>
      </c>
      <c r="F446" s="5">
        <v>9742</v>
      </c>
      <c r="G446" s="8" t="s">
        <v>19</v>
      </c>
      <c r="H446" s="8" t="s">
        <v>31</v>
      </c>
      <c r="I446" s="5">
        <v>12</v>
      </c>
      <c r="J446" s="10">
        <v>2170</v>
      </c>
      <c r="K446" s="10">
        <v>26040</v>
      </c>
      <c r="L446" s="10">
        <v>18205.150000000001</v>
      </c>
      <c r="M446" s="10">
        <v>7834.85</v>
      </c>
      <c r="N446" s="8" t="s">
        <v>21</v>
      </c>
      <c r="O446" s="8" t="s">
        <v>22</v>
      </c>
      <c r="P446" s="8" t="s">
        <v>46</v>
      </c>
      <c r="Q446" s="3">
        <f t="shared" si="7"/>
        <v>0.30087749615975423</v>
      </c>
      <c r="R446" s="8" t="str" cm="1">
        <f t="array" ref="R446">_xlfn.IFS(Q446&gt;40%,"Alta",Q446&gt;20%,"Média",Q446&lt;20%,"Baixa")</f>
        <v>Média</v>
      </c>
    </row>
    <row r="447" spans="1:18" x14ac:dyDescent="0.25">
      <c r="A447" s="5">
        <v>891</v>
      </c>
      <c r="B447" s="6">
        <v>45788</v>
      </c>
      <c r="C447" s="8" t="s">
        <v>24</v>
      </c>
      <c r="D447" s="8" t="s">
        <v>42</v>
      </c>
      <c r="E447" s="8" t="s">
        <v>37</v>
      </c>
      <c r="F447" s="5">
        <v>5704</v>
      </c>
      <c r="G447" s="8" t="s">
        <v>36</v>
      </c>
      <c r="H447" s="8" t="s">
        <v>38</v>
      </c>
      <c r="I447" s="5">
        <v>15</v>
      </c>
      <c r="J447" s="10">
        <v>1720</v>
      </c>
      <c r="K447" s="10">
        <v>25800</v>
      </c>
      <c r="L447" s="10">
        <v>10602.09</v>
      </c>
      <c r="M447" s="10">
        <v>15197.91</v>
      </c>
      <c r="N447" s="8" t="s">
        <v>32</v>
      </c>
      <c r="O447" s="8" t="s">
        <v>39</v>
      </c>
      <c r="P447" s="8" t="s">
        <v>46</v>
      </c>
      <c r="Q447" s="3">
        <f t="shared" si="7"/>
        <v>0.58906627906976738</v>
      </c>
      <c r="R447" s="8" t="str" cm="1">
        <f t="array" ref="R447">_xlfn.IFS(Q447&gt;40%,"Alta",Q447&gt;20%,"Média",Q447&lt;20%,"Baixa")</f>
        <v>Alta</v>
      </c>
    </row>
    <row r="448" spans="1:18" x14ac:dyDescent="0.25">
      <c r="A448" s="5">
        <v>609</v>
      </c>
      <c r="B448" s="6">
        <v>45666</v>
      </c>
      <c r="C448" s="8" t="s">
        <v>47</v>
      </c>
      <c r="D448" s="8" t="s">
        <v>45</v>
      </c>
      <c r="E448" s="8" t="s">
        <v>41</v>
      </c>
      <c r="F448" s="5">
        <v>7844</v>
      </c>
      <c r="G448" s="8" t="s">
        <v>26</v>
      </c>
      <c r="H448" s="8" t="s">
        <v>38</v>
      </c>
      <c r="I448" s="5">
        <v>14</v>
      </c>
      <c r="J448" s="10">
        <v>1842</v>
      </c>
      <c r="K448" s="10">
        <v>25788</v>
      </c>
      <c r="L448" s="10">
        <v>11671.18</v>
      </c>
      <c r="M448" s="10">
        <v>14116.82</v>
      </c>
      <c r="N448" s="8" t="s">
        <v>28</v>
      </c>
      <c r="O448" s="8" t="s">
        <v>33</v>
      </c>
      <c r="P448" s="8" t="s">
        <v>46</v>
      </c>
      <c r="Q448" s="3">
        <f t="shared" si="7"/>
        <v>0.54741817899798351</v>
      </c>
      <c r="R448" s="8" t="str" cm="1">
        <f t="array" ref="R448">_xlfn.IFS(Q448&gt;40%,"Alta",Q448&gt;20%,"Média",Q448&lt;20%,"Baixa")</f>
        <v>Alta</v>
      </c>
    </row>
    <row r="449" spans="1:18" x14ac:dyDescent="0.25">
      <c r="A449" s="5">
        <v>890</v>
      </c>
      <c r="B449" s="6">
        <v>45787</v>
      </c>
      <c r="C449" s="8" t="s">
        <v>34</v>
      </c>
      <c r="D449" s="8" t="s">
        <v>30</v>
      </c>
      <c r="E449" s="8" t="s">
        <v>18</v>
      </c>
      <c r="F449" s="5">
        <v>1684</v>
      </c>
      <c r="G449" s="8" t="s">
        <v>26</v>
      </c>
      <c r="H449" s="8" t="s">
        <v>31</v>
      </c>
      <c r="I449" s="5">
        <v>9</v>
      </c>
      <c r="J449" s="10">
        <v>2839</v>
      </c>
      <c r="K449" s="10">
        <v>25551</v>
      </c>
      <c r="L449" s="10">
        <v>10224.540000000001</v>
      </c>
      <c r="M449" s="10">
        <v>15326.46</v>
      </c>
      <c r="N449" s="8" t="s">
        <v>32</v>
      </c>
      <c r="O449" s="8" t="s">
        <v>39</v>
      </c>
      <c r="P449" s="8" t="s">
        <v>29</v>
      </c>
      <c r="Q449" s="3">
        <f t="shared" si="7"/>
        <v>0.59983797111659032</v>
      </c>
      <c r="R449" s="8" t="str" cm="1">
        <f t="array" ref="R449">_xlfn.IFS(Q449&gt;40%,"Alta",Q449&gt;20%,"Média",Q449&lt;20%,"Baixa")</f>
        <v>Alta</v>
      </c>
    </row>
    <row r="450" spans="1:18" x14ac:dyDescent="0.25">
      <c r="A450" s="5">
        <v>159</v>
      </c>
      <c r="B450" s="6">
        <v>45805</v>
      </c>
      <c r="C450" s="8" t="s">
        <v>34</v>
      </c>
      <c r="D450" s="8" t="s">
        <v>45</v>
      </c>
      <c r="E450" s="8" t="s">
        <v>25</v>
      </c>
      <c r="F450" s="5">
        <v>3613</v>
      </c>
      <c r="G450" s="8" t="s">
        <v>19</v>
      </c>
      <c r="H450" s="8" t="s">
        <v>27</v>
      </c>
      <c r="I450" s="5">
        <v>20</v>
      </c>
      <c r="J450" s="10">
        <v>1276</v>
      </c>
      <c r="K450" s="10">
        <v>25520</v>
      </c>
      <c r="L450" s="10">
        <v>18232.23</v>
      </c>
      <c r="M450" s="10">
        <v>7287.77</v>
      </c>
      <c r="N450" s="8" t="s">
        <v>28</v>
      </c>
      <c r="O450" s="8" t="s">
        <v>39</v>
      </c>
      <c r="P450" s="8" t="s">
        <v>23</v>
      </c>
      <c r="Q450" s="3">
        <f t="shared" ref="Q450:Q513" si="8">M450/K450</f>
        <v>0.28557092476489032</v>
      </c>
      <c r="R450" s="8" t="str" cm="1">
        <f t="array" ref="R450">_xlfn.IFS(Q450&gt;40%,"Alta",Q450&gt;20%,"Média",Q450&lt;20%,"Baixa")</f>
        <v>Média</v>
      </c>
    </row>
    <row r="451" spans="1:18" x14ac:dyDescent="0.25">
      <c r="A451" s="5">
        <v>278</v>
      </c>
      <c r="B451" s="6">
        <v>45675</v>
      </c>
      <c r="C451" s="8" t="s">
        <v>16</v>
      </c>
      <c r="D451" s="8" t="s">
        <v>17</v>
      </c>
      <c r="E451" s="8" t="s">
        <v>37</v>
      </c>
      <c r="F451" s="5">
        <v>1048</v>
      </c>
      <c r="G451" s="8" t="s">
        <v>19</v>
      </c>
      <c r="H451" s="8" t="s">
        <v>43</v>
      </c>
      <c r="I451" s="5">
        <v>6</v>
      </c>
      <c r="J451" s="10">
        <v>4241</v>
      </c>
      <c r="K451" s="10">
        <v>25446</v>
      </c>
      <c r="L451" s="10">
        <v>13869.92</v>
      </c>
      <c r="M451" s="10">
        <v>11576.08</v>
      </c>
      <c r="N451" s="8" t="s">
        <v>21</v>
      </c>
      <c r="O451" s="8" t="s">
        <v>33</v>
      </c>
      <c r="P451" s="8" t="s">
        <v>40</v>
      </c>
      <c r="Q451" s="3">
        <f t="shared" si="8"/>
        <v>0.45492729702114282</v>
      </c>
      <c r="R451" s="8" t="str" cm="1">
        <f t="array" ref="R451">_xlfn.IFS(Q451&gt;40%,"Alta",Q451&gt;20%,"Média",Q451&lt;20%,"Baixa")</f>
        <v>Alta</v>
      </c>
    </row>
    <row r="452" spans="1:18" x14ac:dyDescent="0.25">
      <c r="A452" s="5">
        <v>235</v>
      </c>
      <c r="B452" s="6">
        <v>45802</v>
      </c>
      <c r="C452" s="8" t="s">
        <v>24</v>
      </c>
      <c r="D452" s="8" t="s">
        <v>35</v>
      </c>
      <c r="E452" s="8" t="s">
        <v>18</v>
      </c>
      <c r="F452" s="5">
        <v>4303</v>
      </c>
      <c r="G452" s="8" t="s">
        <v>19</v>
      </c>
      <c r="H452" s="8" t="s">
        <v>27</v>
      </c>
      <c r="I452" s="5">
        <v>9</v>
      </c>
      <c r="J452" s="10">
        <v>2815</v>
      </c>
      <c r="K452" s="10">
        <v>25335</v>
      </c>
      <c r="L452" s="10">
        <v>19223.25</v>
      </c>
      <c r="M452" s="10">
        <v>6111.75</v>
      </c>
      <c r="N452" s="8" t="s">
        <v>21</v>
      </c>
      <c r="O452" s="8" t="s">
        <v>33</v>
      </c>
      <c r="P452" s="8" t="s">
        <v>40</v>
      </c>
      <c r="Q452" s="3">
        <f t="shared" si="8"/>
        <v>0.24123741859088219</v>
      </c>
      <c r="R452" s="8" t="str" cm="1">
        <f t="array" ref="R452">_xlfn.IFS(Q452&gt;40%,"Alta",Q452&gt;20%,"Média",Q452&lt;20%,"Baixa")</f>
        <v>Média</v>
      </c>
    </row>
    <row r="453" spans="1:18" x14ac:dyDescent="0.25">
      <c r="A453" s="5">
        <v>347</v>
      </c>
      <c r="B453" s="6">
        <v>45740</v>
      </c>
      <c r="C453" s="8" t="s">
        <v>16</v>
      </c>
      <c r="D453" s="8" t="s">
        <v>17</v>
      </c>
      <c r="E453" s="8" t="s">
        <v>18</v>
      </c>
      <c r="F453" s="5">
        <v>9806</v>
      </c>
      <c r="G453" s="8" t="s">
        <v>26</v>
      </c>
      <c r="H453" s="8" t="s">
        <v>27</v>
      </c>
      <c r="I453" s="5">
        <v>11</v>
      </c>
      <c r="J453" s="10">
        <v>2300</v>
      </c>
      <c r="K453" s="10">
        <v>25300</v>
      </c>
      <c r="L453" s="10">
        <v>16861.77</v>
      </c>
      <c r="M453" s="10">
        <v>8438.23</v>
      </c>
      <c r="N453" s="8" t="s">
        <v>21</v>
      </c>
      <c r="O453" s="8" t="s">
        <v>39</v>
      </c>
      <c r="P453" s="8" t="s">
        <v>29</v>
      </c>
      <c r="Q453" s="3">
        <f t="shared" si="8"/>
        <v>0.3335268774703557</v>
      </c>
      <c r="R453" s="8" t="str" cm="1">
        <f t="array" ref="R453">_xlfn.IFS(Q453&gt;40%,"Alta",Q453&gt;20%,"Média",Q453&lt;20%,"Baixa")</f>
        <v>Média</v>
      </c>
    </row>
    <row r="454" spans="1:18" x14ac:dyDescent="0.25">
      <c r="A454" s="5">
        <v>122</v>
      </c>
      <c r="B454" s="6">
        <v>45790</v>
      </c>
      <c r="C454" s="8" t="s">
        <v>34</v>
      </c>
      <c r="D454" s="8" t="s">
        <v>17</v>
      </c>
      <c r="E454" s="8" t="s">
        <v>18</v>
      </c>
      <c r="F454" s="5">
        <v>9640</v>
      </c>
      <c r="G454" s="8" t="s">
        <v>19</v>
      </c>
      <c r="H454" s="8" t="s">
        <v>43</v>
      </c>
      <c r="I454" s="5">
        <v>9</v>
      </c>
      <c r="J454" s="10">
        <v>2804</v>
      </c>
      <c r="K454" s="10">
        <v>25236</v>
      </c>
      <c r="L454" s="10">
        <v>12064.39</v>
      </c>
      <c r="M454" s="10">
        <v>13171.61</v>
      </c>
      <c r="N454" s="8" t="s">
        <v>21</v>
      </c>
      <c r="O454" s="8" t="s">
        <v>33</v>
      </c>
      <c r="P454" s="8" t="s">
        <v>40</v>
      </c>
      <c r="Q454" s="3">
        <f t="shared" si="8"/>
        <v>0.52193731177682678</v>
      </c>
      <c r="R454" s="8" t="str" cm="1">
        <f t="array" ref="R454">_xlfn.IFS(Q454&gt;40%,"Alta",Q454&gt;20%,"Média",Q454&lt;20%,"Baixa")</f>
        <v>Alta</v>
      </c>
    </row>
    <row r="455" spans="1:18" x14ac:dyDescent="0.25">
      <c r="A455" s="5">
        <v>394</v>
      </c>
      <c r="B455" s="6">
        <v>45775</v>
      </c>
      <c r="C455" s="8" t="s">
        <v>47</v>
      </c>
      <c r="D455" s="8" t="s">
        <v>35</v>
      </c>
      <c r="E455" s="8" t="s">
        <v>18</v>
      </c>
      <c r="F455" s="5">
        <v>3633</v>
      </c>
      <c r="G455" s="8" t="s">
        <v>19</v>
      </c>
      <c r="H455" s="8" t="s">
        <v>43</v>
      </c>
      <c r="I455" s="5">
        <v>15</v>
      </c>
      <c r="J455" s="10">
        <v>1681</v>
      </c>
      <c r="K455" s="10">
        <v>25215</v>
      </c>
      <c r="L455" s="10">
        <v>17716.82</v>
      </c>
      <c r="M455" s="10">
        <v>7498.18</v>
      </c>
      <c r="N455" s="8" t="s">
        <v>28</v>
      </c>
      <c r="O455" s="8" t="s">
        <v>39</v>
      </c>
      <c r="P455" s="8" t="s">
        <v>23</v>
      </c>
      <c r="Q455" s="3">
        <f t="shared" si="8"/>
        <v>0.29736981955185404</v>
      </c>
      <c r="R455" s="8" t="str" cm="1">
        <f t="array" ref="R455">_xlfn.IFS(Q455&gt;40%,"Alta",Q455&gt;20%,"Média",Q455&lt;20%,"Baixa")</f>
        <v>Média</v>
      </c>
    </row>
    <row r="456" spans="1:18" x14ac:dyDescent="0.25">
      <c r="A456" s="5">
        <v>539</v>
      </c>
      <c r="B456" s="6">
        <v>45677</v>
      </c>
      <c r="C456" s="8" t="s">
        <v>47</v>
      </c>
      <c r="D456" s="8" t="s">
        <v>45</v>
      </c>
      <c r="E456" s="8" t="s">
        <v>25</v>
      </c>
      <c r="F456" s="5">
        <v>6548</v>
      </c>
      <c r="G456" s="8" t="s">
        <v>26</v>
      </c>
      <c r="H456" s="8" t="s">
        <v>43</v>
      </c>
      <c r="I456" s="5">
        <v>11</v>
      </c>
      <c r="J456" s="10">
        <v>2287</v>
      </c>
      <c r="K456" s="10">
        <v>25157</v>
      </c>
      <c r="L456" s="10">
        <v>13293.12</v>
      </c>
      <c r="M456" s="10">
        <v>11863.88</v>
      </c>
      <c r="N456" s="8" t="s">
        <v>28</v>
      </c>
      <c r="O456" s="8" t="s">
        <v>39</v>
      </c>
      <c r="P456" s="8" t="s">
        <v>40</v>
      </c>
      <c r="Q456" s="3">
        <f t="shared" si="8"/>
        <v>0.47159359224072822</v>
      </c>
      <c r="R456" s="8" t="str" cm="1">
        <f t="array" ref="R456">_xlfn.IFS(Q456&gt;40%,"Alta",Q456&gt;20%,"Média",Q456&lt;20%,"Baixa")</f>
        <v>Alta</v>
      </c>
    </row>
    <row r="457" spans="1:18" x14ac:dyDescent="0.25">
      <c r="A457" s="5">
        <v>314</v>
      </c>
      <c r="B457" s="6">
        <v>45767</v>
      </c>
      <c r="C457" s="8" t="s">
        <v>47</v>
      </c>
      <c r="D457" s="8" t="s">
        <v>45</v>
      </c>
      <c r="E457" s="8" t="s">
        <v>41</v>
      </c>
      <c r="F457" s="5">
        <v>7230</v>
      </c>
      <c r="G457" s="8" t="s">
        <v>26</v>
      </c>
      <c r="H457" s="8" t="s">
        <v>38</v>
      </c>
      <c r="I457" s="5">
        <v>19</v>
      </c>
      <c r="J457" s="10">
        <v>1313</v>
      </c>
      <c r="K457" s="10">
        <v>24947</v>
      </c>
      <c r="L457" s="10">
        <v>15108.44</v>
      </c>
      <c r="M457" s="10">
        <v>9838.56</v>
      </c>
      <c r="N457" s="8" t="s">
        <v>28</v>
      </c>
      <c r="O457" s="8" t="s">
        <v>22</v>
      </c>
      <c r="P457" s="8" t="s">
        <v>44</v>
      </c>
      <c r="Q457" s="3">
        <f t="shared" si="8"/>
        <v>0.39437848238265122</v>
      </c>
      <c r="R457" s="8" t="str" cm="1">
        <f t="array" ref="R457">_xlfn.IFS(Q457&gt;40%,"Alta",Q457&gt;20%,"Média",Q457&lt;20%,"Baixa")</f>
        <v>Média</v>
      </c>
    </row>
    <row r="458" spans="1:18" x14ac:dyDescent="0.25">
      <c r="A458" s="5">
        <v>248</v>
      </c>
      <c r="B458" s="6">
        <v>45771</v>
      </c>
      <c r="C458" s="8" t="s">
        <v>47</v>
      </c>
      <c r="D458" s="8" t="s">
        <v>17</v>
      </c>
      <c r="E458" s="8" t="s">
        <v>37</v>
      </c>
      <c r="F458" s="5">
        <v>7073</v>
      </c>
      <c r="G458" s="8" t="s">
        <v>36</v>
      </c>
      <c r="H458" s="8" t="s">
        <v>43</v>
      </c>
      <c r="I458" s="5">
        <v>8</v>
      </c>
      <c r="J458" s="10">
        <v>3117</v>
      </c>
      <c r="K458" s="10">
        <v>24936</v>
      </c>
      <c r="L458" s="10">
        <v>19244.14</v>
      </c>
      <c r="M458" s="10">
        <v>5691.86</v>
      </c>
      <c r="N458" s="8" t="s">
        <v>28</v>
      </c>
      <c r="O458" s="8" t="s">
        <v>39</v>
      </c>
      <c r="P458" s="8" t="s">
        <v>40</v>
      </c>
      <c r="Q458" s="3">
        <f t="shared" si="8"/>
        <v>0.22825874238049404</v>
      </c>
      <c r="R458" s="8" t="str" cm="1">
        <f t="array" ref="R458">_xlfn.IFS(Q458&gt;40%,"Alta",Q458&gt;20%,"Média",Q458&lt;20%,"Baixa")</f>
        <v>Média</v>
      </c>
    </row>
    <row r="459" spans="1:18" x14ac:dyDescent="0.25">
      <c r="A459" s="5">
        <v>76</v>
      </c>
      <c r="B459" s="6">
        <v>45718</v>
      </c>
      <c r="C459" s="8" t="s">
        <v>34</v>
      </c>
      <c r="D459" s="8" t="s">
        <v>45</v>
      </c>
      <c r="E459" s="8" t="s">
        <v>41</v>
      </c>
      <c r="F459" s="5">
        <v>3064</v>
      </c>
      <c r="G459" s="8" t="s">
        <v>36</v>
      </c>
      <c r="H459" s="8" t="s">
        <v>38</v>
      </c>
      <c r="I459" s="5">
        <v>5</v>
      </c>
      <c r="J459" s="10">
        <v>4977</v>
      </c>
      <c r="K459" s="10">
        <v>24885</v>
      </c>
      <c r="L459" s="10">
        <v>15352.67</v>
      </c>
      <c r="M459" s="10">
        <v>9532.33</v>
      </c>
      <c r="N459" s="8" t="s">
        <v>28</v>
      </c>
      <c r="O459" s="8" t="s">
        <v>33</v>
      </c>
      <c r="P459" s="8" t="s">
        <v>29</v>
      </c>
      <c r="Q459" s="3">
        <f t="shared" si="8"/>
        <v>0.38305525416917824</v>
      </c>
      <c r="R459" s="8" t="str" cm="1">
        <f t="array" ref="R459">_xlfn.IFS(Q459&gt;40%,"Alta",Q459&gt;20%,"Média",Q459&lt;20%,"Baixa")</f>
        <v>Média</v>
      </c>
    </row>
    <row r="460" spans="1:18" x14ac:dyDescent="0.25">
      <c r="A460" s="5">
        <v>680</v>
      </c>
      <c r="B460" s="6">
        <v>45765</v>
      </c>
      <c r="C460" s="8" t="s">
        <v>24</v>
      </c>
      <c r="D460" s="8" t="s">
        <v>35</v>
      </c>
      <c r="E460" s="8" t="s">
        <v>37</v>
      </c>
      <c r="F460" s="5">
        <v>6745</v>
      </c>
      <c r="G460" s="8" t="s">
        <v>19</v>
      </c>
      <c r="H460" s="8" t="s">
        <v>27</v>
      </c>
      <c r="I460" s="5">
        <v>13</v>
      </c>
      <c r="J460" s="10">
        <v>1914</v>
      </c>
      <c r="K460" s="10">
        <v>24882</v>
      </c>
      <c r="L460" s="10">
        <v>15804.6</v>
      </c>
      <c r="M460" s="10">
        <v>9077.4</v>
      </c>
      <c r="N460" s="8" t="s">
        <v>21</v>
      </c>
      <c r="O460" s="8" t="s">
        <v>39</v>
      </c>
      <c r="P460" s="8" t="s">
        <v>44</v>
      </c>
      <c r="Q460" s="3">
        <f t="shared" si="8"/>
        <v>0.36481794068000961</v>
      </c>
      <c r="R460" s="8" t="str" cm="1">
        <f t="array" ref="R460">_xlfn.IFS(Q460&gt;40%,"Alta",Q460&gt;20%,"Média",Q460&lt;20%,"Baixa")</f>
        <v>Média</v>
      </c>
    </row>
    <row r="461" spans="1:18" x14ac:dyDescent="0.25">
      <c r="A461" s="5">
        <v>440</v>
      </c>
      <c r="B461" s="6">
        <v>45795</v>
      </c>
      <c r="C461" s="8" t="s">
        <v>47</v>
      </c>
      <c r="D461" s="8" t="s">
        <v>42</v>
      </c>
      <c r="E461" s="8" t="s">
        <v>25</v>
      </c>
      <c r="F461" s="5">
        <v>8243</v>
      </c>
      <c r="G461" s="8" t="s">
        <v>19</v>
      </c>
      <c r="H461" s="8" t="s">
        <v>20</v>
      </c>
      <c r="I461" s="5">
        <v>10</v>
      </c>
      <c r="J461" s="10">
        <v>2485</v>
      </c>
      <c r="K461" s="10">
        <v>24850</v>
      </c>
      <c r="L461" s="10">
        <v>18730.16</v>
      </c>
      <c r="M461" s="10">
        <v>6119.84</v>
      </c>
      <c r="N461" s="8" t="s">
        <v>28</v>
      </c>
      <c r="O461" s="8" t="s">
        <v>39</v>
      </c>
      <c r="P461" s="8" t="s">
        <v>23</v>
      </c>
      <c r="Q461" s="3">
        <f t="shared" si="8"/>
        <v>0.24627122736418511</v>
      </c>
      <c r="R461" s="8" t="str" cm="1">
        <f t="array" ref="R461">_xlfn.IFS(Q461&gt;40%,"Alta",Q461&gt;20%,"Média",Q461&lt;20%,"Baixa")</f>
        <v>Média</v>
      </c>
    </row>
    <row r="462" spans="1:18" x14ac:dyDescent="0.25">
      <c r="A462" s="5">
        <v>784</v>
      </c>
      <c r="B462" s="6">
        <v>45809</v>
      </c>
      <c r="C462" s="8" t="s">
        <v>16</v>
      </c>
      <c r="D462" s="8" t="s">
        <v>45</v>
      </c>
      <c r="E462" s="8" t="s">
        <v>18</v>
      </c>
      <c r="F462" s="5">
        <v>2043</v>
      </c>
      <c r="G462" s="8" t="s">
        <v>26</v>
      </c>
      <c r="H462" s="8" t="s">
        <v>38</v>
      </c>
      <c r="I462" s="5">
        <v>19</v>
      </c>
      <c r="J462" s="10">
        <v>1307</v>
      </c>
      <c r="K462" s="10">
        <v>24833</v>
      </c>
      <c r="L462" s="10">
        <v>14897.82</v>
      </c>
      <c r="M462" s="10">
        <v>9935.18</v>
      </c>
      <c r="N462" s="8" t="s">
        <v>28</v>
      </c>
      <c r="O462" s="8" t="s">
        <v>22</v>
      </c>
      <c r="P462" s="8" t="s">
        <v>44</v>
      </c>
      <c r="Q462" s="3">
        <f t="shared" si="8"/>
        <v>0.40007973261386059</v>
      </c>
      <c r="R462" s="8" t="str" cm="1">
        <f t="array" ref="R462">_xlfn.IFS(Q462&gt;40%,"Alta",Q462&gt;20%,"Média",Q462&lt;20%,"Baixa")</f>
        <v>Alta</v>
      </c>
    </row>
    <row r="463" spans="1:18" x14ac:dyDescent="0.25">
      <c r="A463" s="5">
        <v>287</v>
      </c>
      <c r="B463" s="6">
        <v>45764</v>
      </c>
      <c r="C463" s="8" t="s">
        <v>47</v>
      </c>
      <c r="D463" s="8" t="s">
        <v>42</v>
      </c>
      <c r="E463" s="8" t="s">
        <v>41</v>
      </c>
      <c r="F463" s="5">
        <v>4939</v>
      </c>
      <c r="G463" s="8" t="s">
        <v>36</v>
      </c>
      <c r="H463" s="8" t="s">
        <v>43</v>
      </c>
      <c r="I463" s="5">
        <v>19</v>
      </c>
      <c r="J463" s="10">
        <v>1306</v>
      </c>
      <c r="K463" s="10">
        <v>24814</v>
      </c>
      <c r="L463" s="10">
        <v>15593.87</v>
      </c>
      <c r="M463" s="10">
        <v>9220.1299999999992</v>
      </c>
      <c r="N463" s="8" t="s">
        <v>32</v>
      </c>
      <c r="O463" s="8" t="s">
        <v>22</v>
      </c>
      <c r="P463" s="8" t="s">
        <v>44</v>
      </c>
      <c r="Q463" s="3">
        <f t="shared" si="8"/>
        <v>0.37156967840735067</v>
      </c>
      <c r="R463" s="8" t="str" cm="1">
        <f t="array" ref="R463">_xlfn.IFS(Q463&gt;40%,"Alta",Q463&gt;20%,"Média",Q463&lt;20%,"Baixa")</f>
        <v>Média</v>
      </c>
    </row>
    <row r="464" spans="1:18" x14ac:dyDescent="0.25">
      <c r="A464" s="5">
        <v>358</v>
      </c>
      <c r="B464" s="6">
        <v>45732</v>
      </c>
      <c r="C464" s="8" t="s">
        <v>34</v>
      </c>
      <c r="D464" s="8" t="s">
        <v>17</v>
      </c>
      <c r="E464" s="8" t="s">
        <v>41</v>
      </c>
      <c r="F464" s="5">
        <v>8551</v>
      </c>
      <c r="G464" s="8" t="s">
        <v>36</v>
      </c>
      <c r="H464" s="8" t="s">
        <v>20</v>
      </c>
      <c r="I464" s="5">
        <v>11</v>
      </c>
      <c r="J464" s="10">
        <v>2253</v>
      </c>
      <c r="K464" s="10">
        <v>24783</v>
      </c>
      <c r="L464" s="10">
        <v>11361.49</v>
      </c>
      <c r="M464" s="10">
        <v>13421.51</v>
      </c>
      <c r="N464" s="8" t="s">
        <v>32</v>
      </c>
      <c r="O464" s="8" t="s">
        <v>22</v>
      </c>
      <c r="P464" s="8" t="s">
        <v>23</v>
      </c>
      <c r="Q464" s="3">
        <f t="shared" si="8"/>
        <v>0.54156115078884726</v>
      </c>
      <c r="R464" s="8" t="str" cm="1">
        <f t="array" ref="R464">_xlfn.IFS(Q464&gt;40%,"Alta",Q464&gt;20%,"Média",Q464&lt;20%,"Baixa")</f>
        <v>Alta</v>
      </c>
    </row>
    <row r="465" spans="1:18" x14ac:dyDescent="0.25">
      <c r="A465" s="5">
        <v>501</v>
      </c>
      <c r="B465" s="6">
        <v>45688</v>
      </c>
      <c r="C465" s="8" t="s">
        <v>34</v>
      </c>
      <c r="D465" s="8" t="s">
        <v>42</v>
      </c>
      <c r="E465" s="8" t="s">
        <v>41</v>
      </c>
      <c r="F465" s="5">
        <v>3283</v>
      </c>
      <c r="G465" s="8" t="s">
        <v>36</v>
      </c>
      <c r="H465" s="8" t="s">
        <v>43</v>
      </c>
      <c r="I465" s="5">
        <v>14</v>
      </c>
      <c r="J465" s="10">
        <v>1764</v>
      </c>
      <c r="K465" s="10">
        <v>24696</v>
      </c>
      <c r="L465" s="10">
        <v>17500.080000000002</v>
      </c>
      <c r="M465" s="10">
        <v>7195.92</v>
      </c>
      <c r="N465" s="8" t="s">
        <v>32</v>
      </c>
      <c r="O465" s="8" t="s">
        <v>33</v>
      </c>
      <c r="P465" s="8" t="s">
        <v>29</v>
      </c>
      <c r="Q465" s="3">
        <f t="shared" si="8"/>
        <v>0.29137998056365405</v>
      </c>
      <c r="R465" s="8" t="str" cm="1">
        <f t="array" ref="R465">_xlfn.IFS(Q465&gt;40%,"Alta",Q465&gt;20%,"Média",Q465&lt;20%,"Baixa")</f>
        <v>Média</v>
      </c>
    </row>
    <row r="466" spans="1:18" x14ac:dyDescent="0.25">
      <c r="A466" s="5">
        <v>246</v>
      </c>
      <c r="B466" s="6">
        <v>45801</v>
      </c>
      <c r="C466" s="8" t="s">
        <v>47</v>
      </c>
      <c r="D466" s="8" t="s">
        <v>42</v>
      </c>
      <c r="E466" s="8" t="s">
        <v>41</v>
      </c>
      <c r="F466" s="5">
        <v>8799</v>
      </c>
      <c r="G466" s="8" t="s">
        <v>36</v>
      </c>
      <c r="H466" s="8" t="s">
        <v>20</v>
      </c>
      <c r="I466" s="5">
        <v>6</v>
      </c>
      <c r="J466" s="10">
        <v>4105</v>
      </c>
      <c r="K466" s="10">
        <v>24630</v>
      </c>
      <c r="L466" s="10">
        <v>17925.939999999999</v>
      </c>
      <c r="M466" s="10">
        <v>6704.06</v>
      </c>
      <c r="N466" s="8" t="s">
        <v>28</v>
      </c>
      <c r="O466" s="8" t="s">
        <v>22</v>
      </c>
      <c r="P466" s="8" t="s">
        <v>40</v>
      </c>
      <c r="Q466" s="3">
        <f t="shared" si="8"/>
        <v>0.2721908241981324</v>
      </c>
      <c r="R466" s="8" t="str" cm="1">
        <f t="array" ref="R466">_xlfn.IFS(Q466&gt;40%,"Alta",Q466&gt;20%,"Média",Q466&lt;20%,"Baixa")</f>
        <v>Média</v>
      </c>
    </row>
    <row r="467" spans="1:18" x14ac:dyDescent="0.25">
      <c r="A467" s="5">
        <v>533</v>
      </c>
      <c r="B467" s="6">
        <v>45814</v>
      </c>
      <c r="C467" s="8" t="s">
        <v>24</v>
      </c>
      <c r="D467" s="8" t="s">
        <v>17</v>
      </c>
      <c r="E467" s="8" t="s">
        <v>18</v>
      </c>
      <c r="F467" s="5">
        <v>1883</v>
      </c>
      <c r="G467" s="8" t="s">
        <v>19</v>
      </c>
      <c r="H467" s="8" t="s">
        <v>20</v>
      </c>
      <c r="I467" s="5">
        <v>10</v>
      </c>
      <c r="J467" s="10">
        <v>2445</v>
      </c>
      <c r="K467" s="10">
        <v>24450</v>
      </c>
      <c r="L467" s="10">
        <v>13638.49</v>
      </c>
      <c r="M467" s="10">
        <v>10811.51</v>
      </c>
      <c r="N467" s="8" t="s">
        <v>28</v>
      </c>
      <c r="O467" s="8" t="s">
        <v>22</v>
      </c>
      <c r="P467" s="8" t="s">
        <v>23</v>
      </c>
      <c r="Q467" s="3">
        <f t="shared" si="8"/>
        <v>0.44218854805725971</v>
      </c>
      <c r="R467" s="8" t="str" cm="1">
        <f t="array" ref="R467">_xlfn.IFS(Q467&gt;40%,"Alta",Q467&gt;20%,"Média",Q467&lt;20%,"Baixa")</f>
        <v>Alta</v>
      </c>
    </row>
    <row r="468" spans="1:18" x14ac:dyDescent="0.25">
      <c r="A468" s="5">
        <v>384</v>
      </c>
      <c r="B468" s="6">
        <v>45738</v>
      </c>
      <c r="C468" s="8" t="s">
        <v>34</v>
      </c>
      <c r="D468" s="8" t="s">
        <v>30</v>
      </c>
      <c r="E468" s="8" t="s">
        <v>41</v>
      </c>
      <c r="F468" s="5">
        <v>8745</v>
      </c>
      <c r="G468" s="8" t="s">
        <v>26</v>
      </c>
      <c r="H468" s="8" t="s">
        <v>43</v>
      </c>
      <c r="I468" s="5">
        <v>18</v>
      </c>
      <c r="J468" s="10">
        <v>1357</v>
      </c>
      <c r="K468" s="10">
        <v>24426</v>
      </c>
      <c r="L468" s="10">
        <v>10120.09</v>
      </c>
      <c r="M468" s="10">
        <v>14305.91</v>
      </c>
      <c r="N468" s="8" t="s">
        <v>21</v>
      </c>
      <c r="O468" s="8" t="s">
        <v>33</v>
      </c>
      <c r="P468" s="8" t="s">
        <v>46</v>
      </c>
      <c r="Q468" s="3">
        <f t="shared" si="8"/>
        <v>0.58568369769917306</v>
      </c>
      <c r="R468" s="8" t="str" cm="1">
        <f t="array" ref="R468">_xlfn.IFS(Q468&gt;40%,"Alta",Q468&gt;20%,"Média",Q468&lt;20%,"Baixa")</f>
        <v>Alta</v>
      </c>
    </row>
    <row r="469" spans="1:18" x14ac:dyDescent="0.25">
      <c r="A469" s="5">
        <v>496</v>
      </c>
      <c r="B469" s="6">
        <v>45680</v>
      </c>
      <c r="C469" s="8" t="s">
        <v>24</v>
      </c>
      <c r="D469" s="8" t="s">
        <v>42</v>
      </c>
      <c r="E469" s="8" t="s">
        <v>41</v>
      </c>
      <c r="F469" s="5">
        <v>2339</v>
      </c>
      <c r="G469" s="8" t="s">
        <v>26</v>
      </c>
      <c r="H469" s="8" t="s">
        <v>31</v>
      </c>
      <c r="I469" s="5">
        <v>16</v>
      </c>
      <c r="J469" s="10">
        <v>1519</v>
      </c>
      <c r="K469" s="10">
        <v>24304</v>
      </c>
      <c r="L469" s="10">
        <v>13561.74</v>
      </c>
      <c r="M469" s="10">
        <v>10742.26</v>
      </c>
      <c r="N469" s="8" t="s">
        <v>28</v>
      </c>
      <c r="O469" s="8" t="s">
        <v>22</v>
      </c>
      <c r="P469" s="8" t="s">
        <v>46</v>
      </c>
      <c r="Q469" s="3">
        <f t="shared" si="8"/>
        <v>0.44199555628703097</v>
      </c>
      <c r="R469" s="8" t="str" cm="1">
        <f t="array" ref="R469">_xlfn.IFS(Q469&gt;40%,"Alta",Q469&gt;20%,"Média",Q469&lt;20%,"Baixa")</f>
        <v>Alta</v>
      </c>
    </row>
    <row r="470" spans="1:18" x14ac:dyDescent="0.25">
      <c r="A470" s="5">
        <v>180</v>
      </c>
      <c r="B470" s="6">
        <v>45833</v>
      </c>
      <c r="C470" s="8" t="s">
        <v>47</v>
      </c>
      <c r="D470" s="8" t="s">
        <v>42</v>
      </c>
      <c r="E470" s="8" t="s">
        <v>37</v>
      </c>
      <c r="F470" s="5">
        <v>1058</v>
      </c>
      <c r="G470" s="8" t="s">
        <v>26</v>
      </c>
      <c r="H470" s="8" t="s">
        <v>38</v>
      </c>
      <c r="I470" s="5">
        <v>7</v>
      </c>
      <c r="J470" s="10">
        <v>3471</v>
      </c>
      <c r="K470" s="10">
        <v>24297</v>
      </c>
      <c r="L470" s="10">
        <v>10570.75</v>
      </c>
      <c r="M470" s="10">
        <v>13726.25</v>
      </c>
      <c r="N470" s="8" t="s">
        <v>32</v>
      </c>
      <c r="O470" s="8" t="s">
        <v>22</v>
      </c>
      <c r="P470" s="8" t="s">
        <v>29</v>
      </c>
      <c r="Q470" s="3">
        <f t="shared" si="8"/>
        <v>0.56493600032925873</v>
      </c>
      <c r="R470" s="8" t="str" cm="1">
        <f t="array" ref="R470">_xlfn.IFS(Q470&gt;40%,"Alta",Q470&gt;20%,"Média",Q470&lt;20%,"Baixa")</f>
        <v>Alta</v>
      </c>
    </row>
    <row r="471" spans="1:18" x14ac:dyDescent="0.25">
      <c r="A471" s="5">
        <v>183</v>
      </c>
      <c r="B471" s="6">
        <v>45817</v>
      </c>
      <c r="C471" s="8" t="s">
        <v>24</v>
      </c>
      <c r="D471" s="8" t="s">
        <v>17</v>
      </c>
      <c r="E471" s="8" t="s">
        <v>18</v>
      </c>
      <c r="F471" s="5">
        <v>3967</v>
      </c>
      <c r="G471" s="8" t="s">
        <v>26</v>
      </c>
      <c r="H471" s="8" t="s">
        <v>27</v>
      </c>
      <c r="I471" s="5">
        <v>5</v>
      </c>
      <c r="J471" s="10">
        <v>4859</v>
      </c>
      <c r="K471" s="10">
        <v>24295</v>
      </c>
      <c r="L471" s="10">
        <v>16821.55</v>
      </c>
      <c r="M471" s="10">
        <v>7473.45</v>
      </c>
      <c r="N471" s="8" t="s">
        <v>21</v>
      </c>
      <c r="O471" s="8" t="s">
        <v>33</v>
      </c>
      <c r="P471" s="8" t="s">
        <v>29</v>
      </c>
      <c r="Q471" s="3">
        <f t="shared" si="8"/>
        <v>0.30761267750565957</v>
      </c>
      <c r="R471" s="8" t="str" cm="1">
        <f t="array" ref="R471">_xlfn.IFS(Q471&gt;40%,"Alta",Q471&gt;20%,"Média",Q471&lt;20%,"Baixa")</f>
        <v>Média</v>
      </c>
    </row>
    <row r="472" spans="1:18" x14ac:dyDescent="0.25">
      <c r="A472" s="5">
        <v>511</v>
      </c>
      <c r="B472" s="6">
        <v>45666</v>
      </c>
      <c r="C472" s="8" t="s">
        <v>34</v>
      </c>
      <c r="D472" s="8" t="s">
        <v>17</v>
      </c>
      <c r="E472" s="8" t="s">
        <v>41</v>
      </c>
      <c r="F472" s="5">
        <v>7099</v>
      </c>
      <c r="G472" s="8" t="s">
        <v>19</v>
      </c>
      <c r="H472" s="8" t="s">
        <v>27</v>
      </c>
      <c r="I472" s="5">
        <v>14</v>
      </c>
      <c r="J472" s="10">
        <v>1735</v>
      </c>
      <c r="K472" s="10">
        <v>24290</v>
      </c>
      <c r="L472" s="10">
        <v>11744.05</v>
      </c>
      <c r="M472" s="10">
        <v>12545.95</v>
      </c>
      <c r="N472" s="8" t="s">
        <v>28</v>
      </c>
      <c r="O472" s="8" t="s">
        <v>33</v>
      </c>
      <c r="P472" s="8" t="s">
        <v>44</v>
      </c>
      <c r="Q472" s="3">
        <f t="shared" si="8"/>
        <v>0.51650679291889667</v>
      </c>
      <c r="R472" s="8" t="str" cm="1">
        <f t="array" ref="R472">_xlfn.IFS(Q472&gt;40%,"Alta",Q472&gt;20%,"Média",Q472&lt;20%,"Baixa")</f>
        <v>Alta</v>
      </c>
    </row>
    <row r="473" spans="1:18" x14ac:dyDescent="0.25">
      <c r="A473" s="5">
        <v>171</v>
      </c>
      <c r="B473" s="6">
        <v>45723</v>
      </c>
      <c r="C473" s="8" t="s">
        <v>24</v>
      </c>
      <c r="D473" s="8" t="s">
        <v>45</v>
      </c>
      <c r="E473" s="8" t="s">
        <v>41</v>
      </c>
      <c r="F473" s="5">
        <v>1345</v>
      </c>
      <c r="G473" s="8" t="s">
        <v>19</v>
      </c>
      <c r="H473" s="8" t="s">
        <v>38</v>
      </c>
      <c r="I473" s="5">
        <v>14</v>
      </c>
      <c r="J473" s="10">
        <v>1733</v>
      </c>
      <c r="K473" s="10">
        <v>24262</v>
      </c>
      <c r="L473" s="10">
        <v>13977.69</v>
      </c>
      <c r="M473" s="10">
        <v>10284.31</v>
      </c>
      <c r="N473" s="8" t="s">
        <v>32</v>
      </c>
      <c r="O473" s="8" t="s">
        <v>39</v>
      </c>
      <c r="P473" s="8" t="s">
        <v>23</v>
      </c>
      <c r="Q473" s="3">
        <f t="shared" si="8"/>
        <v>0.42388549995878327</v>
      </c>
      <c r="R473" s="8" t="str" cm="1">
        <f t="array" ref="R473">_xlfn.IFS(Q473&gt;40%,"Alta",Q473&gt;20%,"Média",Q473&lt;20%,"Baixa")</f>
        <v>Alta</v>
      </c>
    </row>
    <row r="474" spans="1:18" x14ac:dyDescent="0.25">
      <c r="A474" s="5">
        <v>307</v>
      </c>
      <c r="B474" s="6">
        <v>45795</v>
      </c>
      <c r="C474" s="8" t="s">
        <v>16</v>
      </c>
      <c r="D474" s="8" t="s">
        <v>35</v>
      </c>
      <c r="E474" s="8" t="s">
        <v>37</v>
      </c>
      <c r="F474" s="5">
        <v>6264</v>
      </c>
      <c r="G474" s="8" t="s">
        <v>36</v>
      </c>
      <c r="H474" s="8" t="s">
        <v>20</v>
      </c>
      <c r="I474" s="5">
        <v>5</v>
      </c>
      <c r="J474" s="10">
        <v>4842</v>
      </c>
      <c r="K474" s="10">
        <v>24210</v>
      </c>
      <c r="L474" s="10">
        <v>12455.65</v>
      </c>
      <c r="M474" s="10">
        <v>11754.35</v>
      </c>
      <c r="N474" s="8" t="s">
        <v>28</v>
      </c>
      <c r="O474" s="8" t="s">
        <v>39</v>
      </c>
      <c r="P474" s="8" t="s">
        <v>23</v>
      </c>
      <c r="Q474" s="3">
        <f t="shared" si="8"/>
        <v>0.48551631557207769</v>
      </c>
      <c r="R474" s="8" t="str" cm="1">
        <f t="array" ref="R474">_xlfn.IFS(Q474&gt;40%,"Alta",Q474&gt;20%,"Média",Q474&lt;20%,"Baixa")</f>
        <v>Alta</v>
      </c>
    </row>
    <row r="475" spans="1:18" x14ac:dyDescent="0.25">
      <c r="A475" s="5">
        <v>811</v>
      </c>
      <c r="B475" s="6">
        <v>45701</v>
      </c>
      <c r="C475" s="8" t="s">
        <v>24</v>
      </c>
      <c r="D475" s="8" t="s">
        <v>42</v>
      </c>
      <c r="E475" s="8" t="s">
        <v>25</v>
      </c>
      <c r="F475" s="5">
        <v>8830</v>
      </c>
      <c r="G475" s="8" t="s">
        <v>19</v>
      </c>
      <c r="H475" s="8" t="s">
        <v>31</v>
      </c>
      <c r="I475" s="5">
        <v>12</v>
      </c>
      <c r="J475" s="10">
        <v>2014</v>
      </c>
      <c r="K475" s="10">
        <v>24168</v>
      </c>
      <c r="L475" s="10">
        <v>12526.52</v>
      </c>
      <c r="M475" s="10">
        <v>11641.48</v>
      </c>
      <c r="N475" s="8" t="s">
        <v>28</v>
      </c>
      <c r="O475" s="8" t="s">
        <v>39</v>
      </c>
      <c r="P475" s="8" t="s">
        <v>23</v>
      </c>
      <c r="Q475" s="3">
        <f t="shared" si="8"/>
        <v>0.48168983780205227</v>
      </c>
      <c r="R475" s="8" t="str" cm="1">
        <f t="array" ref="R475">_xlfn.IFS(Q475&gt;40%,"Alta",Q475&gt;20%,"Média",Q475&lt;20%,"Baixa")</f>
        <v>Alta</v>
      </c>
    </row>
    <row r="476" spans="1:18" x14ac:dyDescent="0.25">
      <c r="A476" s="5">
        <v>771</v>
      </c>
      <c r="B476" s="6">
        <v>45713</v>
      </c>
      <c r="C476" s="8" t="s">
        <v>34</v>
      </c>
      <c r="D476" s="8" t="s">
        <v>30</v>
      </c>
      <c r="E476" s="8" t="s">
        <v>41</v>
      </c>
      <c r="F476" s="5">
        <v>3999</v>
      </c>
      <c r="G476" s="8" t="s">
        <v>36</v>
      </c>
      <c r="H476" s="8" t="s">
        <v>31</v>
      </c>
      <c r="I476" s="5">
        <v>7</v>
      </c>
      <c r="J476" s="10">
        <v>3440</v>
      </c>
      <c r="K476" s="10">
        <v>24080</v>
      </c>
      <c r="L476" s="10">
        <v>13260.63</v>
      </c>
      <c r="M476" s="10">
        <v>10819.37</v>
      </c>
      <c r="N476" s="8" t="s">
        <v>32</v>
      </c>
      <c r="O476" s="8" t="s">
        <v>22</v>
      </c>
      <c r="P476" s="8" t="s">
        <v>40</v>
      </c>
      <c r="Q476" s="3">
        <f t="shared" si="8"/>
        <v>0.44930938538205983</v>
      </c>
      <c r="R476" s="8" t="str" cm="1">
        <f t="array" ref="R476">_xlfn.IFS(Q476&gt;40%,"Alta",Q476&gt;20%,"Média",Q476&lt;20%,"Baixa")</f>
        <v>Alta</v>
      </c>
    </row>
    <row r="477" spans="1:18" x14ac:dyDescent="0.25">
      <c r="A477" s="5">
        <v>368</v>
      </c>
      <c r="B477" s="6">
        <v>45818</v>
      </c>
      <c r="C477" s="8" t="s">
        <v>24</v>
      </c>
      <c r="D477" s="8" t="s">
        <v>30</v>
      </c>
      <c r="E477" s="8" t="s">
        <v>18</v>
      </c>
      <c r="F477" s="5">
        <v>2091</v>
      </c>
      <c r="G477" s="8" t="s">
        <v>36</v>
      </c>
      <c r="H477" s="8" t="s">
        <v>31</v>
      </c>
      <c r="I477" s="5">
        <v>5</v>
      </c>
      <c r="J477" s="10">
        <v>4802</v>
      </c>
      <c r="K477" s="10">
        <v>24010</v>
      </c>
      <c r="L477" s="10">
        <v>16804.919999999998</v>
      </c>
      <c r="M477" s="10">
        <v>7205.08</v>
      </c>
      <c r="N477" s="8" t="s">
        <v>21</v>
      </c>
      <c r="O477" s="8" t="s">
        <v>33</v>
      </c>
      <c r="P477" s="8" t="s">
        <v>40</v>
      </c>
      <c r="Q477" s="3">
        <f t="shared" si="8"/>
        <v>0.30008663057059559</v>
      </c>
      <c r="R477" s="8" t="str" cm="1">
        <f t="array" ref="R477">_xlfn.IFS(Q477&gt;40%,"Alta",Q477&gt;20%,"Média",Q477&lt;20%,"Baixa")</f>
        <v>Média</v>
      </c>
    </row>
    <row r="478" spans="1:18" x14ac:dyDescent="0.25">
      <c r="A478" s="5">
        <v>94</v>
      </c>
      <c r="B478" s="6">
        <v>45817</v>
      </c>
      <c r="C478" s="8" t="s">
        <v>47</v>
      </c>
      <c r="D478" s="8" t="s">
        <v>17</v>
      </c>
      <c r="E478" s="8" t="s">
        <v>25</v>
      </c>
      <c r="F478" s="5">
        <v>3347</v>
      </c>
      <c r="G478" s="8" t="s">
        <v>26</v>
      </c>
      <c r="H478" s="8" t="s">
        <v>27</v>
      </c>
      <c r="I478" s="5">
        <v>20</v>
      </c>
      <c r="J478" s="10">
        <v>1200</v>
      </c>
      <c r="K478" s="10">
        <v>24000</v>
      </c>
      <c r="L478" s="10">
        <v>11606.16</v>
      </c>
      <c r="M478" s="10">
        <v>12393.84</v>
      </c>
      <c r="N478" s="8" t="s">
        <v>21</v>
      </c>
      <c r="O478" s="8" t="s">
        <v>22</v>
      </c>
      <c r="P478" s="8" t="s">
        <v>29</v>
      </c>
      <c r="Q478" s="3">
        <f t="shared" si="8"/>
        <v>0.51641000000000004</v>
      </c>
      <c r="R478" s="8" t="str" cm="1">
        <f t="array" ref="R478">_xlfn.IFS(Q478&gt;40%,"Alta",Q478&gt;20%,"Média",Q478&lt;20%,"Baixa")</f>
        <v>Alta</v>
      </c>
    </row>
    <row r="479" spans="1:18" x14ac:dyDescent="0.25">
      <c r="A479" s="5">
        <v>573</v>
      </c>
      <c r="B479" s="6">
        <v>45835</v>
      </c>
      <c r="C479" s="8" t="s">
        <v>34</v>
      </c>
      <c r="D479" s="8" t="s">
        <v>45</v>
      </c>
      <c r="E479" s="8" t="s">
        <v>41</v>
      </c>
      <c r="F479" s="5">
        <v>4804</v>
      </c>
      <c r="G479" s="8" t="s">
        <v>19</v>
      </c>
      <c r="H479" s="8" t="s">
        <v>31</v>
      </c>
      <c r="I479" s="5">
        <v>17</v>
      </c>
      <c r="J479" s="10">
        <v>1406</v>
      </c>
      <c r="K479" s="10">
        <v>23902</v>
      </c>
      <c r="L479" s="10">
        <v>12041.46</v>
      </c>
      <c r="M479" s="10">
        <v>11860.54</v>
      </c>
      <c r="N479" s="8" t="s">
        <v>21</v>
      </c>
      <c r="O479" s="8" t="s">
        <v>22</v>
      </c>
      <c r="P479" s="8" t="s">
        <v>46</v>
      </c>
      <c r="Q479" s="3">
        <f t="shared" si="8"/>
        <v>0.49621537946615352</v>
      </c>
      <c r="R479" s="8" t="str" cm="1">
        <f t="array" ref="R479">_xlfn.IFS(Q479&gt;40%,"Alta",Q479&gt;20%,"Média",Q479&lt;20%,"Baixa")</f>
        <v>Alta</v>
      </c>
    </row>
    <row r="480" spans="1:18" x14ac:dyDescent="0.25">
      <c r="A480" s="5">
        <v>302</v>
      </c>
      <c r="B480" s="6">
        <v>45715</v>
      </c>
      <c r="C480" s="8" t="s">
        <v>47</v>
      </c>
      <c r="D480" s="8" t="s">
        <v>30</v>
      </c>
      <c r="E480" s="8" t="s">
        <v>18</v>
      </c>
      <c r="F480" s="5">
        <v>4627</v>
      </c>
      <c r="G480" s="8" t="s">
        <v>36</v>
      </c>
      <c r="H480" s="8" t="s">
        <v>27</v>
      </c>
      <c r="I480" s="5">
        <v>5</v>
      </c>
      <c r="J480" s="10">
        <v>4774</v>
      </c>
      <c r="K480" s="10">
        <v>23870</v>
      </c>
      <c r="L480" s="10">
        <v>15146.76</v>
      </c>
      <c r="M480" s="10">
        <v>8723.24</v>
      </c>
      <c r="N480" s="8" t="s">
        <v>32</v>
      </c>
      <c r="O480" s="8" t="s">
        <v>33</v>
      </c>
      <c r="P480" s="8" t="s">
        <v>23</v>
      </c>
      <c r="Q480" s="3">
        <f t="shared" si="8"/>
        <v>0.36544784248010054</v>
      </c>
      <c r="R480" s="8" t="str" cm="1">
        <f t="array" ref="R480">_xlfn.IFS(Q480&gt;40%,"Alta",Q480&gt;20%,"Média",Q480&lt;20%,"Baixa")</f>
        <v>Média</v>
      </c>
    </row>
    <row r="481" spans="1:18" x14ac:dyDescent="0.25">
      <c r="A481" s="5">
        <v>925</v>
      </c>
      <c r="B481" s="6">
        <v>45828</v>
      </c>
      <c r="C481" s="8" t="s">
        <v>24</v>
      </c>
      <c r="D481" s="8" t="s">
        <v>42</v>
      </c>
      <c r="E481" s="8" t="s">
        <v>37</v>
      </c>
      <c r="F481" s="5">
        <v>8871</v>
      </c>
      <c r="G481" s="8" t="s">
        <v>26</v>
      </c>
      <c r="H481" s="8" t="s">
        <v>43</v>
      </c>
      <c r="I481" s="5">
        <v>14</v>
      </c>
      <c r="J481" s="10">
        <v>1700</v>
      </c>
      <c r="K481" s="10">
        <v>23800</v>
      </c>
      <c r="L481" s="10">
        <v>17918.88</v>
      </c>
      <c r="M481" s="10">
        <v>5881.12</v>
      </c>
      <c r="N481" s="8" t="s">
        <v>32</v>
      </c>
      <c r="O481" s="8" t="s">
        <v>33</v>
      </c>
      <c r="P481" s="8" t="s">
        <v>29</v>
      </c>
      <c r="Q481" s="3">
        <f t="shared" si="8"/>
        <v>0.24710588235294118</v>
      </c>
      <c r="R481" s="8" t="str" cm="1">
        <f t="array" ref="R481">_xlfn.IFS(Q481&gt;40%,"Alta",Q481&gt;20%,"Média",Q481&lt;20%,"Baixa")</f>
        <v>Média</v>
      </c>
    </row>
    <row r="482" spans="1:18" x14ac:dyDescent="0.25">
      <c r="A482" s="5">
        <v>223</v>
      </c>
      <c r="B482" s="6">
        <v>45675</v>
      </c>
      <c r="C482" s="8" t="s">
        <v>24</v>
      </c>
      <c r="D482" s="8" t="s">
        <v>45</v>
      </c>
      <c r="E482" s="8" t="s">
        <v>37</v>
      </c>
      <c r="F482" s="5">
        <v>5627</v>
      </c>
      <c r="G482" s="8" t="s">
        <v>36</v>
      </c>
      <c r="H482" s="8" t="s">
        <v>27</v>
      </c>
      <c r="I482" s="5">
        <v>18</v>
      </c>
      <c r="J482" s="10">
        <v>1322</v>
      </c>
      <c r="K482" s="10">
        <v>23796</v>
      </c>
      <c r="L482" s="10">
        <v>17946.009999999998</v>
      </c>
      <c r="M482" s="10">
        <v>5849.99</v>
      </c>
      <c r="N482" s="8" t="s">
        <v>32</v>
      </c>
      <c r="O482" s="8" t="s">
        <v>39</v>
      </c>
      <c r="P482" s="8" t="s">
        <v>29</v>
      </c>
      <c r="Q482" s="3">
        <f t="shared" si="8"/>
        <v>0.24583921667507144</v>
      </c>
      <c r="R482" s="8" t="str" cm="1">
        <f t="array" ref="R482">_xlfn.IFS(Q482&gt;40%,"Alta",Q482&gt;20%,"Média",Q482&lt;20%,"Baixa")</f>
        <v>Média</v>
      </c>
    </row>
    <row r="483" spans="1:18" x14ac:dyDescent="0.25">
      <c r="A483" s="5">
        <v>303</v>
      </c>
      <c r="B483" s="6">
        <v>45766</v>
      </c>
      <c r="C483" s="8" t="s">
        <v>47</v>
      </c>
      <c r="D483" s="8" t="s">
        <v>45</v>
      </c>
      <c r="E483" s="8" t="s">
        <v>25</v>
      </c>
      <c r="F483" s="5">
        <v>8059</v>
      </c>
      <c r="G483" s="8" t="s">
        <v>19</v>
      </c>
      <c r="H483" s="8" t="s">
        <v>27</v>
      </c>
      <c r="I483" s="5">
        <v>11</v>
      </c>
      <c r="J483" s="10">
        <v>2155</v>
      </c>
      <c r="K483" s="10">
        <v>23705</v>
      </c>
      <c r="L483" s="10">
        <v>12729.6</v>
      </c>
      <c r="M483" s="10">
        <v>10975.4</v>
      </c>
      <c r="N483" s="8" t="s">
        <v>21</v>
      </c>
      <c r="O483" s="8" t="s">
        <v>22</v>
      </c>
      <c r="P483" s="8" t="s">
        <v>44</v>
      </c>
      <c r="Q483" s="3">
        <f t="shared" si="8"/>
        <v>0.46299936722210505</v>
      </c>
      <c r="R483" s="8" t="str" cm="1">
        <f t="array" ref="R483">_xlfn.IFS(Q483&gt;40%,"Alta",Q483&gt;20%,"Média",Q483&lt;20%,"Baixa")</f>
        <v>Alta</v>
      </c>
    </row>
    <row r="484" spans="1:18" x14ac:dyDescent="0.25">
      <c r="A484" s="5">
        <v>826</v>
      </c>
      <c r="B484" s="6">
        <v>45805</v>
      </c>
      <c r="C484" s="8" t="s">
        <v>16</v>
      </c>
      <c r="D484" s="8" t="s">
        <v>42</v>
      </c>
      <c r="E484" s="8" t="s">
        <v>37</v>
      </c>
      <c r="F484" s="5">
        <v>2823</v>
      </c>
      <c r="G484" s="8" t="s">
        <v>26</v>
      </c>
      <c r="H484" s="8" t="s">
        <v>31</v>
      </c>
      <c r="I484" s="5">
        <v>20</v>
      </c>
      <c r="J484" s="10">
        <v>1183</v>
      </c>
      <c r="K484" s="10">
        <v>23660</v>
      </c>
      <c r="L484" s="10">
        <v>12743.28</v>
      </c>
      <c r="M484" s="10">
        <v>10916.72</v>
      </c>
      <c r="N484" s="8" t="s">
        <v>32</v>
      </c>
      <c r="O484" s="8" t="s">
        <v>33</v>
      </c>
      <c r="P484" s="8" t="s">
        <v>29</v>
      </c>
      <c r="Q484" s="3">
        <f t="shared" si="8"/>
        <v>0.46139983093829245</v>
      </c>
      <c r="R484" s="8" t="str" cm="1">
        <f t="array" ref="R484">_xlfn.IFS(Q484&gt;40%,"Alta",Q484&gt;20%,"Média",Q484&lt;20%,"Baixa")</f>
        <v>Alta</v>
      </c>
    </row>
    <row r="485" spans="1:18" x14ac:dyDescent="0.25">
      <c r="A485" s="5">
        <v>855</v>
      </c>
      <c r="B485" s="6">
        <v>45783</v>
      </c>
      <c r="C485" s="8" t="s">
        <v>24</v>
      </c>
      <c r="D485" s="8" t="s">
        <v>17</v>
      </c>
      <c r="E485" s="8" t="s">
        <v>18</v>
      </c>
      <c r="F485" s="5">
        <v>7369</v>
      </c>
      <c r="G485" s="8" t="s">
        <v>26</v>
      </c>
      <c r="H485" s="8" t="s">
        <v>31</v>
      </c>
      <c r="I485" s="5">
        <v>15</v>
      </c>
      <c r="J485" s="10">
        <v>1573</v>
      </c>
      <c r="K485" s="10">
        <v>23595</v>
      </c>
      <c r="L485" s="10">
        <v>12007.99</v>
      </c>
      <c r="M485" s="10">
        <v>11587.01</v>
      </c>
      <c r="N485" s="8" t="s">
        <v>21</v>
      </c>
      <c r="O485" s="8" t="s">
        <v>39</v>
      </c>
      <c r="P485" s="8" t="s">
        <v>23</v>
      </c>
      <c r="Q485" s="3">
        <f t="shared" si="8"/>
        <v>0.4910790421699513</v>
      </c>
      <c r="R485" s="8" t="str" cm="1">
        <f t="array" ref="R485">_xlfn.IFS(Q485&gt;40%,"Alta",Q485&gt;20%,"Média",Q485&lt;20%,"Baixa")</f>
        <v>Alta</v>
      </c>
    </row>
    <row r="486" spans="1:18" x14ac:dyDescent="0.25">
      <c r="A486" s="5">
        <v>305</v>
      </c>
      <c r="B486" s="6">
        <v>45748</v>
      </c>
      <c r="C486" s="8" t="s">
        <v>24</v>
      </c>
      <c r="D486" s="8" t="s">
        <v>35</v>
      </c>
      <c r="E486" s="8" t="s">
        <v>37</v>
      </c>
      <c r="F486" s="5">
        <v>7289</v>
      </c>
      <c r="G486" s="8" t="s">
        <v>19</v>
      </c>
      <c r="H486" s="8" t="s">
        <v>20</v>
      </c>
      <c r="I486" s="5">
        <v>5</v>
      </c>
      <c r="J486" s="10">
        <v>4711</v>
      </c>
      <c r="K486" s="10">
        <v>23555</v>
      </c>
      <c r="L486" s="10">
        <v>12987.09</v>
      </c>
      <c r="M486" s="10">
        <v>10567.91</v>
      </c>
      <c r="N486" s="8" t="s">
        <v>28</v>
      </c>
      <c r="O486" s="8" t="s">
        <v>33</v>
      </c>
      <c r="P486" s="8" t="s">
        <v>23</v>
      </c>
      <c r="Q486" s="3">
        <f t="shared" si="8"/>
        <v>0.44864827000636809</v>
      </c>
      <c r="R486" s="8" t="str" cm="1">
        <f t="array" ref="R486">_xlfn.IFS(Q486&gt;40%,"Alta",Q486&gt;20%,"Média",Q486&lt;20%,"Baixa")</f>
        <v>Alta</v>
      </c>
    </row>
    <row r="487" spans="1:18" x14ac:dyDescent="0.25">
      <c r="A487" s="5">
        <v>719</v>
      </c>
      <c r="B487" s="6">
        <v>45663</v>
      </c>
      <c r="C487" s="8" t="s">
        <v>16</v>
      </c>
      <c r="D487" s="8" t="s">
        <v>35</v>
      </c>
      <c r="E487" s="8" t="s">
        <v>41</v>
      </c>
      <c r="F487" s="5">
        <v>1612</v>
      </c>
      <c r="G487" s="8" t="s">
        <v>26</v>
      </c>
      <c r="H487" s="8" t="s">
        <v>31</v>
      </c>
      <c r="I487" s="5">
        <v>15</v>
      </c>
      <c r="J487" s="10">
        <v>1570</v>
      </c>
      <c r="K487" s="10">
        <v>23550</v>
      </c>
      <c r="L487" s="10">
        <v>10298.209999999999</v>
      </c>
      <c r="M487" s="10">
        <v>13251.79</v>
      </c>
      <c r="N487" s="8" t="s">
        <v>28</v>
      </c>
      <c r="O487" s="8" t="s">
        <v>22</v>
      </c>
      <c r="P487" s="8" t="s">
        <v>29</v>
      </c>
      <c r="Q487" s="3">
        <f t="shared" si="8"/>
        <v>0.56270870488322722</v>
      </c>
      <c r="R487" s="8" t="str" cm="1">
        <f t="array" ref="R487">_xlfn.IFS(Q487&gt;40%,"Alta",Q487&gt;20%,"Média",Q487&lt;20%,"Baixa")</f>
        <v>Alta</v>
      </c>
    </row>
    <row r="488" spans="1:18" x14ac:dyDescent="0.25">
      <c r="A488" s="5">
        <v>165</v>
      </c>
      <c r="B488" s="6">
        <v>45696</v>
      </c>
      <c r="C488" s="8" t="s">
        <v>34</v>
      </c>
      <c r="D488" s="8" t="s">
        <v>35</v>
      </c>
      <c r="E488" s="8" t="s">
        <v>25</v>
      </c>
      <c r="F488" s="5">
        <v>2895</v>
      </c>
      <c r="G488" s="8" t="s">
        <v>36</v>
      </c>
      <c r="H488" s="8" t="s">
        <v>31</v>
      </c>
      <c r="I488" s="5">
        <v>17</v>
      </c>
      <c r="J488" s="10">
        <v>1379</v>
      </c>
      <c r="K488" s="10">
        <v>23443</v>
      </c>
      <c r="L488" s="10">
        <v>11539.7</v>
      </c>
      <c r="M488" s="10">
        <v>11903.3</v>
      </c>
      <c r="N488" s="8" t="s">
        <v>32</v>
      </c>
      <c r="O488" s="8" t="s">
        <v>39</v>
      </c>
      <c r="P488" s="8" t="s">
        <v>44</v>
      </c>
      <c r="Q488" s="3">
        <f t="shared" si="8"/>
        <v>0.5077549801646547</v>
      </c>
      <c r="R488" s="8" t="str" cm="1">
        <f t="array" ref="R488">_xlfn.IFS(Q488&gt;40%,"Alta",Q488&gt;20%,"Média",Q488&lt;20%,"Baixa")</f>
        <v>Alta</v>
      </c>
    </row>
    <row r="489" spans="1:18" x14ac:dyDescent="0.25">
      <c r="A489" s="5">
        <v>433</v>
      </c>
      <c r="B489" s="6">
        <v>45751</v>
      </c>
      <c r="C489" s="8" t="s">
        <v>16</v>
      </c>
      <c r="D489" s="8" t="s">
        <v>45</v>
      </c>
      <c r="E489" s="8" t="s">
        <v>41</v>
      </c>
      <c r="F489" s="5">
        <v>6880</v>
      </c>
      <c r="G489" s="8" t="s">
        <v>19</v>
      </c>
      <c r="H489" s="8" t="s">
        <v>31</v>
      </c>
      <c r="I489" s="5">
        <v>15</v>
      </c>
      <c r="J489" s="10">
        <v>1562</v>
      </c>
      <c r="K489" s="10">
        <v>23430</v>
      </c>
      <c r="L489" s="10">
        <v>14395.2</v>
      </c>
      <c r="M489" s="10">
        <v>9034.7999999999993</v>
      </c>
      <c r="N489" s="8" t="s">
        <v>21</v>
      </c>
      <c r="O489" s="8" t="s">
        <v>39</v>
      </c>
      <c r="P489" s="8" t="s">
        <v>40</v>
      </c>
      <c r="Q489" s="3">
        <f t="shared" si="8"/>
        <v>0.38560819462227908</v>
      </c>
      <c r="R489" s="8" t="str" cm="1">
        <f t="array" ref="R489">_xlfn.IFS(Q489&gt;40%,"Alta",Q489&gt;20%,"Média",Q489&lt;20%,"Baixa")</f>
        <v>Média</v>
      </c>
    </row>
    <row r="490" spans="1:18" x14ac:dyDescent="0.25">
      <c r="A490" s="5">
        <v>618</v>
      </c>
      <c r="B490" s="6">
        <v>45793</v>
      </c>
      <c r="C490" s="8" t="s">
        <v>34</v>
      </c>
      <c r="D490" s="8" t="s">
        <v>30</v>
      </c>
      <c r="E490" s="8" t="s">
        <v>18</v>
      </c>
      <c r="F490" s="5">
        <v>2277</v>
      </c>
      <c r="G490" s="8" t="s">
        <v>19</v>
      </c>
      <c r="H490" s="8" t="s">
        <v>31</v>
      </c>
      <c r="I490" s="5">
        <v>10</v>
      </c>
      <c r="J490" s="10">
        <v>2336</v>
      </c>
      <c r="K490" s="10">
        <v>23360</v>
      </c>
      <c r="L490" s="10">
        <v>11500.33</v>
      </c>
      <c r="M490" s="10">
        <v>11859.67</v>
      </c>
      <c r="N490" s="8" t="s">
        <v>28</v>
      </c>
      <c r="O490" s="8" t="s">
        <v>39</v>
      </c>
      <c r="P490" s="8" t="s">
        <v>23</v>
      </c>
      <c r="Q490" s="3">
        <f t="shared" si="8"/>
        <v>0.50769135273972599</v>
      </c>
      <c r="R490" s="8" t="str" cm="1">
        <f t="array" ref="R490">_xlfn.IFS(Q490&gt;40%,"Alta",Q490&gt;20%,"Média",Q490&lt;20%,"Baixa")</f>
        <v>Alta</v>
      </c>
    </row>
    <row r="491" spans="1:18" x14ac:dyDescent="0.25">
      <c r="A491" s="5">
        <v>279</v>
      </c>
      <c r="B491" s="6">
        <v>45706</v>
      </c>
      <c r="C491" s="8" t="s">
        <v>34</v>
      </c>
      <c r="D491" s="8" t="s">
        <v>30</v>
      </c>
      <c r="E491" s="8" t="s">
        <v>25</v>
      </c>
      <c r="F491" s="5">
        <v>5596</v>
      </c>
      <c r="G491" s="8" t="s">
        <v>26</v>
      </c>
      <c r="H491" s="8" t="s">
        <v>20</v>
      </c>
      <c r="I491" s="5">
        <v>20</v>
      </c>
      <c r="J491" s="10">
        <v>1166</v>
      </c>
      <c r="K491" s="10">
        <v>23320</v>
      </c>
      <c r="L491" s="10">
        <v>15639.97</v>
      </c>
      <c r="M491" s="10">
        <v>7680.03</v>
      </c>
      <c r="N491" s="8" t="s">
        <v>28</v>
      </c>
      <c r="O491" s="8" t="s">
        <v>22</v>
      </c>
      <c r="P491" s="8" t="s">
        <v>40</v>
      </c>
      <c r="Q491" s="3">
        <f t="shared" si="8"/>
        <v>0.32933233276157803</v>
      </c>
      <c r="R491" s="8" t="str" cm="1">
        <f t="array" ref="R491">_xlfn.IFS(Q491&gt;40%,"Alta",Q491&gt;20%,"Média",Q491&lt;20%,"Baixa")</f>
        <v>Média</v>
      </c>
    </row>
    <row r="492" spans="1:18" x14ac:dyDescent="0.25">
      <c r="A492" s="5">
        <v>132</v>
      </c>
      <c r="B492" s="6">
        <v>45712</v>
      </c>
      <c r="C492" s="8" t="s">
        <v>47</v>
      </c>
      <c r="D492" s="8" t="s">
        <v>45</v>
      </c>
      <c r="E492" s="8" t="s">
        <v>25</v>
      </c>
      <c r="F492" s="5">
        <v>8537</v>
      </c>
      <c r="G492" s="8" t="s">
        <v>26</v>
      </c>
      <c r="H492" s="8" t="s">
        <v>38</v>
      </c>
      <c r="I492" s="5">
        <v>7</v>
      </c>
      <c r="J492" s="10">
        <v>3325</v>
      </c>
      <c r="K492" s="10">
        <v>23275</v>
      </c>
      <c r="L492" s="10">
        <v>10033.74</v>
      </c>
      <c r="M492" s="10">
        <v>13241.26</v>
      </c>
      <c r="N492" s="8" t="s">
        <v>21</v>
      </c>
      <c r="O492" s="8" t="s">
        <v>33</v>
      </c>
      <c r="P492" s="8" t="s">
        <v>46</v>
      </c>
      <c r="Q492" s="3">
        <f t="shared" si="8"/>
        <v>0.56890483351235233</v>
      </c>
      <c r="R492" s="8" t="str" cm="1">
        <f t="array" ref="R492">_xlfn.IFS(Q492&gt;40%,"Alta",Q492&gt;20%,"Média",Q492&lt;20%,"Baixa")</f>
        <v>Alta</v>
      </c>
    </row>
    <row r="493" spans="1:18" x14ac:dyDescent="0.25">
      <c r="A493" s="5">
        <v>869</v>
      </c>
      <c r="B493" s="6">
        <v>45704</v>
      </c>
      <c r="C493" s="8" t="s">
        <v>16</v>
      </c>
      <c r="D493" s="8" t="s">
        <v>42</v>
      </c>
      <c r="E493" s="8" t="s">
        <v>25</v>
      </c>
      <c r="F493" s="5">
        <v>4895</v>
      </c>
      <c r="G493" s="8" t="s">
        <v>36</v>
      </c>
      <c r="H493" s="8" t="s">
        <v>27</v>
      </c>
      <c r="I493" s="5">
        <v>7</v>
      </c>
      <c r="J493" s="10">
        <v>3308</v>
      </c>
      <c r="K493" s="10">
        <v>23156</v>
      </c>
      <c r="L493" s="10">
        <v>10887.65</v>
      </c>
      <c r="M493" s="10">
        <v>12268.35</v>
      </c>
      <c r="N493" s="8" t="s">
        <v>28</v>
      </c>
      <c r="O493" s="8" t="s">
        <v>33</v>
      </c>
      <c r="P493" s="8" t="s">
        <v>44</v>
      </c>
      <c r="Q493" s="3">
        <f t="shared" si="8"/>
        <v>0.52981300742788051</v>
      </c>
      <c r="R493" s="8" t="str" cm="1">
        <f t="array" ref="R493">_xlfn.IFS(Q493&gt;40%,"Alta",Q493&gt;20%,"Média",Q493&lt;20%,"Baixa")</f>
        <v>Alta</v>
      </c>
    </row>
    <row r="494" spans="1:18" x14ac:dyDescent="0.25">
      <c r="A494" s="5">
        <v>386</v>
      </c>
      <c r="B494" s="6">
        <v>45807</v>
      </c>
      <c r="C494" s="8" t="s">
        <v>16</v>
      </c>
      <c r="D494" s="8" t="s">
        <v>42</v>
      </c>
      <c r="E494" s="8" t="s">
        <v>37</v>
      </c>
      <c r="F494" s="5">
        <v>9652</v>
      </c>
      <c r="G494" s="8" t="s">
        <v>36</v>
      </c>
      <c r="H494" s="8" t="s">
        <v>43</v>
      </c>
      <c r="I494" s="5">
        <v>16</v>
      </c>
      <c r="J494" s="10">
        <v>1445</v>
      </c>
      <c r="K494" s="10">
        <v>23120</v>
      </c>
      <c r="L494" s="10">
        <v>14998.58</v>
      </c>
      <c r="M494" s="10">
        <v>8121.42</v>
      </c>
      <c r="N494" s="8" t="s">
        <v>21</v>
      </c>
      <c r="O494" s="8" t="s">
        <v>22</v>
      </c>
      <c r="P494" s="8" t="s">
        <v>40</v>
      </c>
      <c r="Q494" s="3">
        <f t="shared" si="8"/>
        <v>0.35127249134948096</v>
      </c>
      <c r="R494" s="8" t="str" cm="1">
        <f t="array" ref="R494">_xlfn.IFS(Q494&gt;40%,"Alta",Q494&gt;20%,"Média",Q494&lt;20%,"Baixa")</f>
        <v>Média</v>
      </c>
    </row>
    <row r="495" spans="1:18" x14ac:dyDescent="0.25">
      <c r="A495" s="5">
        <v>224</v>
      </c>
      <c r="B495" s="6">
        <v>45805</v>
      </c>
      <c r="C495" s="8" t="s">
        <v>47</v>
      </c>
      <c r="D495" s="8" t="s">
        <v>35</v>
      </c>
      <c r="E495" s="8" t="s">
        <v>37</v>
      </c>
      <c r="F495" s="5">
        <v>9913</v>
      </c>
      <c r="G495" s="8" t="s">
        <v>36</v>
      </c>
      <c r="H495" s="8" t="s">
        <v>43</v>
      </c>
      <c r="I495" s="5">
        <v>13</v>
      </c>
      <c r="J495" s="10">
        <v>1777</v>
      </c>
      <c r="K495" s="10">
        <v>23101</v>
      </c>
      <c r="L495" s="10">
        <v>10513.83</v>
      </c>
      <c r="M495" s="10">
        <v>12587.17</v>
      </c>
      <c r="N495" s="8" t="s">
        <v>21</v>
      </c>
      <c r="O495" s="8" t="s">
        <v>39</v>
      </c>
      <c r="P495" s="8" t="s">
        <v>44</v>
      </c>
      <c r="Q495" s="3">
        <f t="shared" si="8"/>
        <v>0.54487554651313796</v>
      </c>
      <c r="R495" s="8" t="str" cm="1">
        <f t="array" ref="R495">_xlfn.IFS(Q495&gt;40%,"Alta",Q495&gt;20%,"Média",Q495&lt;20%,"Baixa")</f>
        <v>Alta</v>
      </c>
    </row>
    <row r="496" spans="1:18" x14ac:dyDescent="0.25">
      <c r="A496" s="5">
        <v>678</v>
      </c>
      <c r="B496" s="6">
        <v>45783</v>
      </c>
      <c r="C496" s="8" t="s">
        <v>34</v>
      </c>
      <c r="D496" s="8" t="s">
        <v>17</v>
      </c>
      <c r="E496" s="8" t="s">
        <v>41</v>
      </c>
      <c r="F496" s="5">
        <v>7926</v>
      </c>
      <c r="G496" s="8" t="s">
        <v>26</v>
      </c>
      <c r="H496" s="8" t="s">
        <v>43</v>
      </c>
      <c r="I496" s="5">
        <v>13</v>
      </c>
      <c r="J496" s="10">
        <v>1776</v>
      </c>
      <c r="K496" s="10">
        <v>23088</v>
      </c>
      <c r="L496" s="10">
        <v>15420.13</v>
      </c>
      <c r="M496" s="10">
        <v>7667.87</v>
      </c>
      <c r="N496" s="8" t="s">
        <v>21</v>
      </c>
      <c r="O496" s="8" t="s">
        <v>33</v>
      </c>
      <c r="P496" s="8" t="s">
        <v>23</v>
      </c>
      <c r="Q496" s="3">
        <f t="shared" si="8"/>
        <v>0.33211495148995146</v>
      </c>
      <c r="R496" s="8" t="str" cm="1">
        <f t="array" ref="R496">_xlfn.IFS(Q496&gt;40%,"Alta",Q496&gt;20%,"Média",Q496&lt;20%,"Baixa")</f>
        <v>Média</v>
      </c>
    </row>
    <row r="497" spans="1:18" x14ac:dyDescent="0.25">
      <c r="A497" s="5">
        <v>225</v>
      </c>
      <c r="B497" s="6">
        <v>45816</v>
      </c>
      <c r="C497" s="8" t="s">
        <v>47</v>
      </c>
      <c r="D497" s="8" t="s">
        <v>35</v>
      </c>
      <c r="E497" s="8" t="s">
        <v>37</v>
      </c>
      <c r="F497" s="5">
        <v>1447</v>
      </c>
      <c r="G497" s="8" t="s">
        <v>26</v>
      </c>
      <c r="H497" s="8" t="s">
        <v>38</v>
      </c>
      <c r="I497" s="5">
        <v>10</v>
      </c>
      <c r="J497" s="10">
        <v>2294</v>
      </c>
      <c r="K497" s="10">
        <v>22940</v>
      </c>
      <c r="L497" s="10">
        <v>14102.08</v>
      </c>
      <c r="M497" s="10">
        <v>8837.92</v>
      </c>
      <c r="N497" s="8" t="s">
        <v>28</v>
      </c>
      <c r="O497" s="8" t="s">
        <v>39</v>
      </c>
      <c r="P497" s="8" t="s">
        <v>23</v>
      </c>
      <c r="Q497" s="3">
        <f t="shared" si="8"/>
        <v>0.38526242371403663</v>
      </c>
      <c r="R497" s="8" t="str" cm="1">
        <f t="array" ref="R497">_xlfn.IFS(Q497&gt;40%,"Alta",Q497&gt;20%,"Média",Q497&lt;20%,"Baixa")</f>
        <v>Média</v>
      </c>
    </row>
    <row r="498" spans="1:18" x14ac:dyDescent="0.25">
      <c r="A498" s="5">
        <v>709</v>
      </c>
      <c r="B498" s="6">
        <v>45833</v>
      </c>
      <c r="C498" s="8" t="s">
        <v>16</v>
      </c>
      <c r="D498" s="8" t="s">
        <v>42</v>
      </c>
      <c r="E498" s="8" t="s">
        <v>18</v>
      </c>
      <c r="F498" s="5">
        <v>1329</v>
      </c>
      <c r="G498" s="8" t="s">
        <v>19</v>
      </c>
      <c r="H498" s="8" t="s">
        <v>38</v>
      </c>
      <c r="I498" s="5">
        <v>9</v>
      </c>
      <c r="J498" s="10">
        <v>2542</v>
      </c>
      <c r="K498" s="10">
        <v>22878</v>
      </c>
      <c r="L498" s="10">
        <v>10104.73</v>
      </c>
      <c r="M498" s="10">
        <v>12773.27</v>
      </c>
      <c r="N498" s="8" t="s">
        <v>28</v>
      </c>
      <c r="O498" s="8" t="s">
        <v>33</v>
      </c>
      <c r="P498" s="8" t="s">
        <v>29</v>
      </c>
      <c r="Q498" s="3">
        <f t="shared" si="8"/>
        <v>0.55832109450126766</v>
      </c>
      <c r="R498" s="8" t="str" cm="1">
        <f t="array" ref="R498">_xlfn.IFS(Q498&gt;40%,"Alta",Q498&gt;20%,"Média",Q498&lt;20%,"Baixa")</f>
        <v>Alta</v>
      </c>
    </row>
    <row r="499" spans="1:18" x14ac:dyDescent="0.25">
      <c r="A499" s="5">
        <v>625</v>
      </c>
      <c r="B499" s="6">
        <v>45714</v>
      </c>
      <c r="C499" s="8" t="s">
        <v>24</v>
      </c>
      <c r="D499" s="8" t="s">
        <v>42</v>
      </c>
      <c r="E499" s="8" t="s">
        <v>37</v>
      </c>
      <c r="F499" s="5">
        <v>4386</v>
      </c>
      <c r="G499" s="8" t="s">
        <v>19</v>
      </c>
      <c r="H499" s="8" t="s">
        <v>38</v>
      </c>
      <c r="I499" s="5">
        <v>6</v>
      </c>
      <c r="J499" s="10">
        <v>3806</v>
      </c>
      <c r="K499" s="10">
        <v>22836</v>
      </c>
      <c r="L499" s="10">
        <v>11212.67</v>
      </c>
      <c r="M499" s="10">
        <v>11623.33</v>
      </c>
      <c r="N499" s="8" t="s">
        <v>28</v>
      </c>
      <c r="O499" s="8" t="s">
        <v>22</v>
      </c>
      <c r="P499" s="8" t="s">
        <v>40</v>
      </c>
      <c r="Q499" s="3">
        <f t="shared" si="8"/>
        <v>0.50899150464179366</v>
      </c>
      <c r="R499" s="8" t="str" cm="1">
        <f t="array" ref="R499">_xlfn.IFS(Q499&gt;40%,"Alta",Q499&gt;20%,"Média",Q499&lt;20%,"Baixa")</f>
        <v>Alta</v>
      </c>
    </row>
    <row r="500" spans="1:18" x14ac:dyDescent="0.25">
      <c r="A500" s="5">
        <v>99</v>
      </c>
      <c r="B500" s="6">
        <v>45694</v>
      </c>
      <c r="C500" s="8" t="s">
        <v>16</v>
      </c>
      <c r="D500" s="8" t="s">
        <v>42</v>
      </c>
      <c r="E500" s="8" t="s">
        <v>18</v>
      </c>
      <c r="F500" s="5">
        <v>9444</v>
      </c>
      <c r="G500" s="8" t="s">
        <v>26</v>
      </c>
      <c r="H500" s="8" t="s">
        <v>43</v>
      </c>
      <c r="I500" s="5">
        <v>5</v>
      </c>
      <c r="J500" s="10">
        <v>4563</v>
      </c>
      <c r="K500" s="10">
        <v>22815</v>
      </c>
      <c r="L500" s="10">
        <v>12109.36</v>
      </c>
      <c r="M500" s="10">
        <v>10705.64</v>
      </c>
      <c r="N500" s="8" t="s">
        <v>28</v>
      </c>
      <c r="O500" s="8" t="s">
        <v>39</v>
      </c>
      <c r="P500" s="8" t="s">
        <v>40</v>
      </c>
      <c r="Q500" s="3">
        <f t="shared" si="8"/>
        <v>0.46923690554459785</v>
      </c>
      <c r="R500" s="8" t="str" cm="1">
        <f t="array" ref="R500">_xlfn.IFS(Q500&gt;40%,"Alta",Q500&gt;20%,"Média",Q500&lt;20%,"Baixa")</f>
        <v>Alta</v>
      </c>
    </row>
    <row r="501" spans="1:18" x14ac:dyDescent="0.25">
      <c r="A501" s="5">
        <v>732</v>
      </c>
      <c r="B501" s="6">
        <v>45766</v>
      </c>
      <c r="C501" s="8" t="s">
        <v>47</v>
      </c>
      <c r="D501" s="8" t="s">
        <v>42</v>
      </c>
      <c r="E501" s="8" t="s">
        <v>41</v>
      </c>
      <c r="F501" s="5">
        <v>4915</v>
      </c>
      <c r="G501" s="8" t="s">
        <v>36</v>
      </c>
      <c r="H501" s="8" t="s">
        <v>43</v>
      </c>
      <c r="I501" s="5">
        <v>17</v>
      </c>
      <c r="J501" s="10">
        <v>1336</v>
      </c>
      <c r="K501" s="10">
        <v>22712</v>
      </c>
      <c r="L501" s="10">
        <v>16425.34</v>
      </c>
      <c r="M501" s="10">
        <v>6286.66</v>
      </c>
      <c r="N501" s="8" t="s">
        <v>32</v>
      </c>
      <c r="O501" s="8" t="s">
        <v>22</v>
      </c>
      <c r="P501" s="8" t="s">
        <v>46</v>
      </c>
      <c r="Q501" s="3">
        <f t="shared" si="8"/>
        <v>0.27679904896090174</v>
      </c>
      <c r="R501" s="8" t="str" cm="1">
        <f t="array" ref="R501">_xlfn.IFS(Q501&gt;40%,"Alta",Q501&gt;20%,"Média",Q501&lt;20%,"Baixa")</f>
        <v>Média</v>
      </c>
    </row>
    <row r="502" spans="1:18" x14ac:dyDescent="0.25">
      <c r="A502" s="5">
        <v>779</v>
      </c>
      <c r="B502" s="6">
        <v>45682</v>
      </c>
      <c r="C502" s="8" t="s">
        <v>47</v>
      </c>
      <c r="D502" s="8" t="s">
        <v>17</v>
      </c>
      <c r="E502" s="8" t="s">
        <v>25</v>
      </c>
      <c r="F502" s="5">
        <v>4576</v>
      </c>
      <c r="G502" s="8" t="s">
        <v>36</v>
      </c>
      <c r="H502" s="8" t="s">
        <v>20</v>
      </c>
      <c r="I502" s="5">
        <v>6</v>
      </c>
      <c r="J502" s="10">
        <v>3773</v>
      </c>
      <c r="K502" s="10">
        <v>22638</v>
      </c>
      <c r="L502" s="10">
        <v>13768.72</v>
      </c>
      <c r="M502" s="10">
        <v>8869.2800000000007</v>
      </c>
      <c r="N502" s="8" t="s">
        <v>32</v>
      </c>
      <c r="O502" s="8" t="s">
        <v>33</v>
      </c>
      <c r="P502" s="8" t="s">
        <v>29</v>
      </c>
      <c r="Q502" s="3">
        <f t="shared" si="8"/>
        <v>0.39178726035868894</v>
      </c>
      <c r="R502" s="8" t="str" cm="1">
        <f t="array" ref="R502">_xlfn.IFS(Q502&gt;40%,"Alta",Q502&gt;20%,"Média",Q502&lt;20%,"Baixa")</f>
        <v>Média</v>
      </c>
    </row>
    <row r="503" spans="1:18" x14ac:dyDescent="0.25">
      <c r="A503" s="5">
        <v>500</v>
      </c>
      <c r="B503" s="6">
        <v>45808</v>
      </c>
      <c r="C503" s="8" t="s">
        <v>47</v>
      </c>
      <c r="D503" s="8" t="s">
        <v>30</v>
      </c>
      <c r="E503" s="8" t="s">
        <v>25</v>
      </c>
      <c r="F503" s="5">
        <v>8123</v>
      </c>
      <c r="G503" s="8" t="s">
        <v>36</v>
      </c>
      <c r="H503" s="8" t="s">
        <v>27</v>
      </c>
      <c r="I503" s="5">
        <v>8</v>
      </c>
      <c r="J503" s="10">
        <v>2824</v>
      </c>
      <c r="K503" s="10">
        <v>22592</v>
      </c>
      <c r="L503" s="10">
        <v>16505.43</v>
      </c>
      <c r="M503" s="10">
        <v>6086.57</v>
      </c>
      <c r="N503" s="8" t="s">
        <v>21</v>
      </c>
      <c r="O503" s="8" t="s">
        <v>33</v>
      </c>
      <c r="P503" s="8" t="s">
        <v>29</v>
      </c>
      <c r="Q503" s="3">
        <f t="shared" si="8"/>
        <v>0.26941262393767706</v>
      </c>
      <c r="R503" s="8" t="str" cm="1">
        <f t="array" ref="R503">_xlfn.IFS(Q503&gt;40%,"Alta",Q503&gt;20%,"Média",Q503&lt;20%,"Baixa")</f>
        <v>Média</v>
      </c>
    </row>
    <row r="504" spans="1:18" x14ac:dyDescent="0.25">
      <c r="A504" s="5">
        <v>393</v>
      </c>
      <c r="B504" s="6">
        <v>45663</v>
      </c>
      <c r="C504" s="8" t="s">
        <v>34</v>
      </c>
      <c r="D504" s="8" t="s">
        <v>30</v>
      </c>
      <c r="E504" s="8" t="s">
        <v>25</v>
      </c>
      <c r="F504" s="5">
        <v>3176</v>
      </c>
      <c r="G504" s="8" t="s">
        <v>36</v>
      </c>
      <c r="H504" s="8" t="s">
        <v>27</v>
      </c>
      <c r="I504" s="5">
        <v>6</v>
      </c>
      <c r="J504" s="10">
        <v>3751</v>
      </c>
      <c r="K504" s="10">
        <v>22506</v>
      </c>
      <c r="L504" s="10">
        <v>15759.24</v>
      </c>
      <c r="M504" s="10">
        <v>6746.76</v>
      </c>
      <c r="N504" s="8" t="s">
        <v>28</v>
      </c>
      <c r="O504" s="8" t="s">
        <v>22</v>
      </c>
      <c r="P504" s="8" t="s">
        <v>46</v>
      </c>
      <c r="Q504" s="3">
        <f t="shared" si="8"/>
        <v>0.29977605971740873</v>
      </c>
      <c r="R504" s="8" t="str" cm="1">
        <f t="array" ref="R504">_xlfn.IFS(Q504&gt;40%,"Alta",Q504&gt;20%,"Média",Q504&lt;20%,"Baixa")</f>
        <v>Média</v>
      </c>
    </row>
    <row r="505" spans="1:18" x14ac:dyDescent="0.25">
      <c r="A505" s="5">
        <v>688</v>
      </c>
      <c r="B505" s="6">
        <v>45694</v>
      </c>
      <c r="C505" s="8" t="s">
        <v>16</v>
      </c>
      <c r="D505" s="8" t="s">
        <v>42</v>
      </c>
      <c r="E505" s="8" t="s">
        <v>37</v>
      </c>
      <c r="F505" s="5">
        <v>1686</v>
      </c>
      <c r="G505" s="8" t="s">
        <v>36</v>
      </c>
      <c r="H505" s="8" t="s">
        <v>27</v>
      </c>
      <c r="I505" s="5">
        <v>9</v>
      </c>
      <c r="J505" s="10">
        <v>2494</v>
      </c>
      <c r="K505" s="10">
        <v>22446</v>
      </c>
      <c r="L505" s="10">
        <v>16944.87</v>
      </c>
      <c r="M505" s="10">
        <v>5501.13</v>
      </c>
      <c r="N505" s="8" t="s">
        <v>28</v>
      </c>
      <c r="O505" s="8" t="s">
        <v>33</v>
      </c>
      <c r="P505" s="8" t="s">
        <v>44</v>
      </c>
      <c r="Q505" s="3">
        <f t="shared" si="8"/>
        <v>0.24508286554397221</v>
      </c>
      <c r="R505" s="8" t="str" cm="1">
        <f t="array" ref="R505">_xlfn.IFS(Q505&gt;40%,"Alta",Q505&gt;20%,"Média",Q505&lt;20%,"Baixa")</f>
        <v>Média</v>
      </c>
    </row>
    <row r="506" spans="1:18" x14ac:dyDescent="0.25">
      <c r="A506" s="5">
        <v>789</v>
      </c>
      <c r="B506" s="6">
        <v>45755</v>
      </c>
      <c r="C506" s="8" t="s">
        <v>24</v>
      </c>
      <c r="D506" s="8" t="s">
        <v>42</v>
      </c>
      <c r="E506" s="8" t="s">
        <v>41</v>
      </c>
      <c r="F506" s="5">
        <v>5452</v>
      </c>
      <c r="G506" s="8" t="s">
        <v>26</v>
      </c>
      <c r="H506" s="8" t="s">
        <v>43</v>
      </c>
      <c r="I506" s="5">
        <v>8</v>
      </c>
      <c r="J506" s="10">
        <v>2800</v>
      </c>
      <c r="K506" s="10">
        <v>22400</v>
      </c>
      <c r="L506" s="10">
        <v>10145.18</v>
      </c>
      <c r="M506" s="10">
        <v>12254.82</v>
      </c>
      <c r="N506" s="8" t="s">
        <v>32</v>
      </c>
      <c r="O506" s="8" t="s">
        <v>33</v>
      </c>
      <c r="P506" s="8" t="s">
        <v>29</v>
      </c>
      <c r="Q506" s="3">
        <f t="shared" si="8"/>
        <v>0.54709017857142861</v>
      </c>
      <c r="R506" s="8" t="str" cm="1">
        <f t="array" ref="R506">_xlfn.IFS(Q506&gt;40%,"Alta",Q506&gt;20%,"Média",Q506&lt;20%,"Baixa")</f>
        <v>Alta</v>
      </c>
    </row>
    <row r="507" spans="1:18" x14ac:dyDescent="0.25">
      <c r="A507" s="5">
        <v>105</v>
      </c>
      <c r="B507" s="6">
        <v>45673</v>
      </c>
      <c r="C507" s="8" t="s">
        <v>16</v>
      </c>
      <c r="D507" s="8" t="s">
        <v>17</v>
      </c>
      <c r="E507" s="8" t="s">
        <v>41</v>
      </c>
      <c r="F507" s="5">
        <v>4610</v>
      </c>
      <c r="G507" s="8" t="s">
        <v>36</v>
      </c>
      <c r="H507" s="8" t="s">
        <v>31</v>
      </c>
      <c r="I507" s="5">
        <v>9</v>
      </c>
      <c r="J507" s="10">
        <v>2485</v>
      </c>
      <c r="K507" s="10">
        <v>22365</v>
      </c>
      <c r="L507" s="10">
        <v>15021.66</v>
      </c>
      <c r="M507" s="10">
        <v>7343.34</v>
      </c>
      <c r="N507" s="8" t="s">
        <v>28</v>
      </c>
      <c r="O507" s="8" t="s">
        <v>33</v>
      </c>
      <c r="P507" s="8" t="s">
        <v>29</v>
      </c>
      <c r="Q507" s="3">
        <f t="shared" si="8"/>
        <v>0.32834071093226025</v>
      </c>
      <c r="R507" s="8" t="str" cm="1">
        <f t="array" ref="R507">_xlfn.IFS(Q507&gt;40%,"Alta",Q507&gt;20%,"Média",Q507&lt;20%,"Baixa")</f>
        <v>Média</v>
      </c>
    </row>
    <row r="508" spans="1:18" x14ac:dyDescent="0.25">
      <c r="A508" s="5">
        <v>876</v>
      </c>
      <c r="B508" s="6">
        <v>45696</v>
      </c>
      <c r="C508" s="8" t="s">
        <v>34</v>
      </c>
      <c r="D508" s="8" t="s">
        <v>30</v>
      </c>
      <c r="E508" s="8" t="s">
        <v>18</v>
      </c>
      <c r="F508" s="5">
        <v>4591</v>
      </c>
      <c r="G508" s="8" t="s">
        <v>19</v>
      </c>
      <c r="H508" s="8" t="s">
        <v>31</v>
      </c>
      <c r="I508" s="5">
        <v>7</v>
      </c>
      <c r="J508" s="10">
        <v>3154</v>
      </c>
      <c r="K508" s="10">
        <v>22078</v>
      </c>
      <c r="L508" s="10">
        <v>13761.28</v>
      </c>
      <c r="M508" s="10">
        <v>8316.7199999999993</v>
      </c>
      <c r="N508" s="8" t="s">
        <v>21</v>
      </c>
      <c r="O508" s="8" t="s">
        <v>22</v>
      </c>
      <c r="P508" s="8" t="s">
        <v>23</v>
      </c>
      <c r="Q508" s="3">
        <f t="shared" si="8"/>
        <v>0.37669716459824254</v>
      </c>
      <c r="R508" s="8" t="str" cm="1">
        <f t="array" ref="R508">_xlfn.IFS(Q508&gt;40%,"Alta",Q508&gt;20%,"Média",Q508&lt;20%,"Baixa")</f>
        <v>Média</v>
      </c>
    </row>
    <row r="509" spans="1:18" x14ac:dyDescent="0.25">
      <c r="A509" s="5">
        <v>458</v>
      </c>
      <c r="B509" s="6">
        <v>45774</v>
      </c>
      <c r="C509" s="8" t="s">
        <v>47</v>
      </c>
      <c r="D509" s="8" t="s">
        <v>42</v>
      </c>
      <c r="E509" s="8" t="s">
        <v>25</v>
      </c>
      <c r="F509" s="5">
        <v>4144</v>
      </c>
      <c r="G509" s="8" t="s">
        <v>19</v>
      </c>
      <c r="H509" s="8" t="s">
        <v>38</v>
      </c>
      <c r="I509" s="5">
        <v>11</v>
      </c>
      <c r="J509" s="10">
        <v>2007</v>
      </c>
      <c r="K509" s="10">
        <v>22077</v>
      </c>
      <c r="L509" s="10">
        <v>16940.16</v>
      </c>
      <c r="M509" s="10">
        <v>5136.84</v>
      </c>
      <c r="N509" s="8" t="s">
        <v>21</v>
      </c>
      <c r="O509" s="8" t="s">
        <v>22</v>
      </c>
      <c r="P509" s="8" t="s">
        <v>23</v>
      </c>
      <c r="Q509" s="3">
        <f t="shared" si="8"/>
        <v>0.23267835303709744</v>
      </c>
      <c r="R509" s="8" t="str" cm="1">
        <f t="array" ref="R509">_xlfn.IFS(Q509&gt;40%,"Alta",Q509&gt;20%,"Média",Q509&lt;20%,"Baixa")</f>
        <v>Média</v>
      </c>
    </row>
    <row r="510" spans="1:18" x14ac:dyDescent="0.25">
      <c r="A510" s="5">
        <v>801</v>
      </c>
      <c r="B510" s="6">
        <v>45699</v>
      </c>
      <c r="C510" s="8" t="s">
        <v>34</v>
      </c>
      <c r="D510" s="8" t="s">
        <v>45</v>
      </c>
      <c r="E510" s="8" t="s">
        <v>25</v>
      </c>
      <c r="F510" s="5">
        <v>3135</v>
      </c>
      <c r="G510" s="8" t="s">
        <v>26</v>
      </c>
      <c r="H510" s="8" t="s">
        <v>27</v>
      </c>
      <c r="I510" s="5">
        <v>6</v>
      </c>
      <c r="J510" s="10">
        <v>3676</v>
      </c>
      <c r="K510" s="10">
        <v>22056</v>
      </c>
      <c r="L510" s="10">
        <v>16222.17</v>
      </c>
      <c r="M510" s="10">
        <v>5833.83</v>
      </c>
      <c r="N510" s="8" t="s">
        <v>21</v>
      </c>
      <c r="O510" s="8" t="s">
        <v>33</v>
      </c>
      <c r="P510" s="8" t="s">
        <v>40</v>
      </c>
      <c r="Q510" s="3">
        <f t="shared" si="8"/>
        <v>0.26450081610446136</v>
      </c>
      <c r="R510" s="8" t="str" cm="1">
        <f t="array" ref="R510">_xlfn.IFS(Q510&gt;40%,"Alta",Q510&gt;20%,"Média",Q510&lt;20%,"Baixa")</f>
        <v>Média</v>
      </c>
    </row>
    <row r="511" spans="1:18" x14ac:dyDescent="0.25">
      <c r="A511" s="5">
        <v>414</v>
      </c>
      <c r="B511" s="6">
        <v>45768</v>
      </c>
      <c r="C511" s="8" t="s">
        <v>16</v>
      </c>
      <c r="D511" s="8" t="s">
        <v>35</v>
      </c>
      <c r="E511" s="8" t="s">
        <v>25</v>
      </c>
      <c r="F511" s="5">
        <v>8901</v>
      </c>
      <c r="G511" s="8" t="s">
        <v>26</v>
      </c>
      <c r="H511" s="8" t="s">
        <v>20</v>
      </c>
      <c r="I511" s="5">
        <v>6</v>
      </c>
      <c r="J511" s="10">
        <v>3668</v>
      </c>
      <c r="K511" s="10">
        <v>22008</v>
      </c>
      <c r="L511" s="10">
        <v>16892.22</v>
      </c>
      <c r="M511" s="10">
        <v>5115.78</v>
      </c>
      <c r="N511" s="8" t="s">
        <v>28</v>
      </c>
      <c r="O511" s="8" t="s">
        <v>39</v>
      </c>
      <c r="P511" s="8" t="s">
        <v>29</v>
      </c>
      <c r="Q511" s="3">
        <f t="shared" si="8"/>
        <v>0.23245092693565975</v>
      </c>
      <c r="R511" s="8" t="str" cm="1">
        <f t="array" ref="R511">_xlfn.IFS(Q511&gt;40%,"Alta",Q511&gt;20%,"Média",Q511&lt;20%,"Baixa")</f>
        <v>Média</v>
      </c>
    </row>
    <row r="512" spans="1:18" x14ac:dyDescent="0.25">
      <c r="A512" s="5">
        <v>39</v>
      </c>
      <c r="B512" s="6">
        <v>45816</v>
      </c>
      <c r="C512" s="8" t="s">
        <v>16</v>
      </c>
      <c r="D512" s="8" t="s">
        <v>30</v>
      </c>
      <c r="E512" s="8" t="s">
        <v>37</v>
      </c>
      <c r="F512" s="5">
        <v>3844</v>
      </c>
      <c r="G512" s="8" t="s">
        <v>19</v>
      </c>
      <c r="H512" s="8" t="s">
        <v>20</v>
      </c>
      <c r="I512" s="5">
        <v>14</v>
      </c>
      <c r="J512" s="10">
        <v>1564</v>
      </c>
      <c r="K512" s="10">
        <v>21896</v>
      </c>
      <c r="L512" s="10">
        <v>9355.68</v>
      </c>
      <c r="M512" s="10">
        <v>12540.32</v>
      </c>
      <c r="N512" s="8" t="s">
        <v>28</v>
      </c>
      <c r="O512" s="8" t="s">
        <v>39</v>
      </c>
      <c r="P512" s="8" t="s">
        <v>44</v>
      </c>
      <c r="Q512" s="3">
        <f t="shared" si="8"/>
        <v>0.57272195834855677</v>
      </c>
      <c r="R512" s="8" t="str" cm="1">
        <f t="array" ref="R512">_xlfn.IFS(Q512&gt;40%,"Alta",Q512&gt;20%,"Média",Q512&lt;20%,"Baixa")</f>
        <v>Alta</v>
      </c>
    </row>
    <row r="513" spans="1:18" x14ac:dyDescent="0.25">
      <c r="A513" s="5">
        <v>878</v>
      </c>
      <c r="B513" s="6">
        <v>45782</v>
      </c>
      <c r="C513" s="8" t="s">
        <v>34</v>
      </c>
      <c r="D513" s="8" t="s">
        <v>17</v>
      </c>
      <c r="E513" s="8" t="s">
        <v>25</v>
      </c>
      <c r="F513" s="5">
        <v>5606</v>
      </c>
      <c r="G513" s="8" t="s">
        <v>19</v>
      </c>
      <c r="H513" s="8" t="s">
        <v>27</v>
      </c>
      <c r="I513" s="5">
        <v>6</v>
      </c>
      <c r="J513" s="10">
        <v>3645</v>
      </c>
      <c r="K513" s="10">
        <v>21870</v>
      </c>
      <c r="L513" s="10">
        <v>15904.07</v>
      </c>
      <c r="M513" s="10">
        <v>5965.93</v>
      </c>
      <c r="N513" s="8" t="s">
        <v>28</v>
      </c>
      <c r="O513" s="8" t="s">
        <v>39</v>
      </c>
      <c r="P513" s="8" t="s">
        <v>40</v>
      </c>
      <c r="Q513" s="3">
        <f t="shared" si="8"/>
        <v>0.27279058070416096</v>
      </c>
      <c r="R513" s="8" t="str" cm="1">
        <f t="array" ref="R513">_xlfn.IFS(Q513&gt;40%,"Alta",Q513&gt;20%,"Média",Q513&lt;20%,"Baixa")</f>
        <v>Média</v>
      </c>
    </row>
    <row r="514" spans="1:18" x14ac:dyDescent="0.25">
      <c r="A514" s="5">
        <v>999</v>
      </c>
      <c r="B514" s="6">
        <v>45695</v>
      </c>
      <c r="C514" s="8" t="s">
        <v>47</v>
      </c>
      <c r="D514" s="8" t="s">
        <v>35</v>
      </c>
      <c r="E514" s="8" t="s">
        <v>18</v>
      </c>
      <c r="F514" s="5">
        <v>3403</v>
      </c>
      <c r="G514" s="8" t="s">
        <v>36</v>
      </c>
      <c r="H514" s="8" t="s">
        <v>31</v>
      </c>
      <c r="I514" s="5">
        <v>10</v>
      </c>
      <c r="J514" s="10">
        <v>2187</v>
      </c>
      <c r="K514" s="10">
        <v>21870</v>
      </c>
      <c r="L514" s="10">
        <v>10605.93</v>
      </c>
      <c r="M514" s="10">
        <v>11264.07</v>
      </c>
      <c r="N514" s="8" t="s">
        <v>21</v>
      </c>
      <c r="O514" s="8" t="s">
        <v>33</v>
      </c>
      <c r="P514" s="8" t="s">
        <v>46</v>
      </c>
      <c r="Q514" s="3">
        <f t="shared" ref="Q514:Q577" si="9">M514/K514</f>
        <v>0.51504663923182437</v>
      </c>
      <c r="R514" s="8" t="str" cm="1">
        <f t="array" ref="R514">_xlfn.IFS(Q514&gt;40%,"Alta",Q514&gt;20%,"Média",Q514&lt;20%,"Baixa")</f>
        <v>Alta</v>
      </c>
    </row>
    <row r="515" spans="1:18" x14ac:dyDescent="0.25">
      <c r="A515" s="5">
        <v>727</v>
      </c>
      <c r="B515" s="6">
        <v>45699</v>
      </c>
      <c r="C515" s="8" t="s">
        <v>47</v>
      </c>
      <c r="D515" s="8" t="s">
        <v>30</v>
      </c>
      <c r="E515" s="8" t="s">
        <v>18</v>
      </c>
      <c r="F515" s="5">
        <v>8241</v>
      </c>
      <c r="G515" s="8" t="s">
        <v>36</v>
      </c>
      <c r="H515" s="8" t="s">
        <v>38</v>
      </c>
      <c r="I515" s="5">
        <v>6</v>
      </c>
      <c r="J515" s="10">
        <v>3642</v>
      </c>
      <c r="K515" s="10">
        <v>21852</v>
      </c>
      <c r="L515" s="10">
        <v>15125.59</v>
      </c>
      <c r="M515" s="10">
        <v>6726.41</v>
      </c>
      <c r="N515" s="8" t="s">
        <v>32</v>
      </c>
      <c r="O515" s="8" t="s">
        <v>39</v>
      </c>
      <c r="P515" s="8" t="s">
        <v>46</v>
      </c>
      <c r="Q515" s="3">
        <f t="shared" si="9"/>
        <v>0.30781667581914696</v>
      </c>
      <c r="R515" s="8" t="str" cm="1">
        <f t="array" ref="R515">_xlfn.IFS(Q515&gt;40%,"Alta",Q515&gt;20%,"Média",Q515&lt;20%,"Baixa")</f>
        <v>Média</v>
      </c>
    </row>
    <row r="516" spans="1:18" x14ac:dyDescent="0.25">
      <c r="A516" s="5">
        <v>415</v>
      </c>
      <c r="B516" s="6">
        <v>45669</v>
      </c>
      <c r="C516" s="8" t="s">
        <v>34</v>
      </c>
      <c r="D516" s="8" t="s">
        <v>35</v>
      </c>
      <c r="E516" s="8" t="s">
        <v>25</v>
      </c>
      <c r="F516" s="5">
        <v>8262</v>
      </c>
      <c r="G516" s="8" t="s">
        <v>36</v>
      </c>
      <c r="H516" s="8" t="s">
        <v>20</v>
      </c>
      <c r="I516" s="5">
        <v>11</v>
      </c>
      <c r="J516" s="10">
        <v>1976</v>
      </c>
      <c r="K516" s="10">
        <v>21736</v>
      </c>
      <c r="L516" s="10">
        <v>14090.04</v>
      </c>
      <c r="M516" s="10">
        <v>7645.96</v>
      </c>
      <c r="N516" s="8" t="s">
        <v>28</v>
      </c>
      <c r="O516" s="8" t="s">
        <v>33</v>
      </c>
      <c r="P516" s="8" t="s">
        <v>40</v>
      </c>
      <c r="Q516" s="3">
        <f t="shared" si="9"/>
        <v>0.35176481413323518</v>
      </c>
      <c r="R516" s="8" t="str" cm="1">
        <f t="array" ref="R516">_xlfn.IFS(Q516&gt;40%,"Alta",Q516&gt;20%,"Média",Q516&lt;20%,"Baixa")</f>
        <v>Média</v>
      </c>
    </row>
    <row r="517" spans="1:18" x14ac:dyDescent="0.25">
      <c r="A517" s="5">
        <v>768</v>
      </c>
      <c r="B517" s="6">
        <v>45789</v>
      </c>
      <c r="C517" s="8" t="s">
        <v>34</v>
      </c>
      <c r="D517" s="8" t="s">
        <v>45</v>
      </c>
      <c r="E517" s="8" t="s">
        <v>25</v>
      </c>
      <c r="F517" s="5">
        <v>2700</v>
      </c>
      <c r="G517" s="8" t="s">
        <v>19</v>
      </c>
      <c r="H517" s="8" t="s">
        <v>20</v>
      </c>
      <c r="I517" s="5">
        <v>18</v>
      </c>
      <c r="J517" s="10">
        <v>1207</v>
      </c>
      <c r="K517" s="10">
        <v>21726</v>
      </c>
      <c r="L517" s="10">
        <v>14496.97</v>
      </c>
      <c r="M517" s="10">
        <v>7229.03</v>
      </c>
      <c r="N517" s="8" t="s">
        <v>32</v>
      </c>
      <c r="O517" s="8" t="s">
        <v>22</v>
      </c>
      <c r="P517" s="8" t="s">
        <v>40</v>
      </c>
      <c r="Q517" s="3">
        <f t="shared" si="9"/>
        <v>0.33273635275706526</v>
      </c>
      <c r="R517" s="8" t="str" cm="1">
        <f t="array" ref="R517">_xlfn.IFS(Q517&gt;40%,"Alta",Q517&gt;20%,"Média",Q517&lt;20%,"Baixa")</f>
        <v>Média</v>
      </c>
    </row>
    <row r="518" spans="1:18" x14ac:dyDescent="0.25">
      <c r="A518" s="5">
        <v>62</v>
      </c>
      <c r="B518" s="6">
        <v>45740</v>
      </c>
      <c r="C518" s="8" t="s">
        <v>24</v>
      </c>
      <c r="D518" s="8" t="s">
        <v>45</v>
      </c>
      <c r="E518" s="8" t="s">
        <v>41</v>
      </c>
      <c r="F518" s="5">
        <v>5849</v>
      </c>
      <c r="G518" s="8" t="s">
        <v>19</v>
      </c>
      <c r="H518" s="8" t="s">
        <v>27</v>
      </c>
      <c r="I518" s="5">
        <v>6</v>
      </c>
      <c r="J518" s="10">
        <v>3615</v>
      </c>
      <c r="K518" s="10">
        <v>21690</v>
      </c>
      <c r="L518" s="10">
        <v>9412.43</v>
      </c>
      <c r="M518" s="10">
        <v>12277.57</v>
      </c>
      <c r="N518" s="8" t="s">
        <v>21</v>
      </c>
      <c r="O518" s="8" t="s">
        <v>33</v>
      </c>
      <c r="P518" s="8" t="s">
        <v>29</v>
      </c>
      <c r="Q518" s="3">
        <f t="shared" si="9"/>
        <v>0.56604748732134624</v>
      </c>
      <c r="R518" s="8" t="str" cm="1">
        <f t="array" ref="R518">_xlfn.IFS(Q518&gt;40%,"Alta",Q518&gt;20%,"Média",Q518&lt;20%,"Baixa")</f>
        <v>Alta</v>
      </c>
    </row>
    <row r="519" spans="1:18" x14ac:dyDescent="0.25">
      <c r="A519" s="5">
        <v>664</v>
      </c>
      <c r="B519" s="6">
        <v>45699</v>
      </c>
      <c r="C519" s="8" t="s">
        <v>24</v>
      </c>
      <c r="D519" s="8" t="s">
        <v>30</v>
      </c>
      <c r="E519" s="8" t="s">
        <v>25</v>
      </c>
      <c r="F519" s="5">
        <v>3475</v>
      </c>
      <c r="G519" s="8" t="s">
        <v>19</v>
      </c>
      <c r="H519" s="8" t="s">
        <v>38</v>
      </c>
      <c r="I519" s="5">
        <v>17</v>
      </c>
      <c r="J519" s="10">
        <v>1275</v>
      </c>
      <c r="K519" s="10">
        <v>21675</v>
      </c>
      <c r="L519" s="10">
        <v>12114.75</v>
      </c>
      <c r="M519" s="10">
        <v>9560.25</v>
      </c>
      <c r="N519" s="8" t="s">
        <v>28</v>
      </c>
      <c r="O519" s="8" t="s">
        <v>33</v>
      </c>
      <c r="P519" s="8" t="s">
        <v>40</v>
      </c>
      <c r="Q519" s="3">
        <f t="shared" si="9"/>
        <v>0.44107266435986159</v>
      </c>
      <c r="R519" s="8" t="str" cm="1">
        <f t="array" ref="R519">_xlfn.IFS(Q519&gt;40%,"Alta",Q519&gt;20%,"Média",Q519&lt;20%,"Baixa")</f>
        <v>Alta</v>
      </c>
    </row>
    <row r="520" spans="1:18" x14ac:dyDescent="0.25">
      <c r="A520" s="5">
        <v>193</v>
      </c>
      <c r="B520" s="6">
        <v>45745</v>
      </c>
      <c r="C520" s="8" t="s">
        <v>47</v>
      </c>
      <c r="D520" s="8" t="s">
        <v>42</v>
      </c>
      <c r="E520" s="8" t="s">
        <v>41</v>
      </c>
      <c r="F520" s="5">
        <v>9542</v>
      </c>
      <c r="G520" s="8" t="s">
        <v>19</v>
      </c>
      <c r="H520" s="8" t="s">
        <v>43</v>
      </c>
      <c r="I520" s="5">
        <v>20</v>
      </c>
      <c r="J520" s="10">
        <v>1083</v>
      </c>
      <c r="K520" s="10">
        <v>21660</v>
      </c>
      <c r="L520" s="10">
        <v>12253.43</v>
      </c>
      <c r="M520" s="10">
        <v>9406.57</v>
      </c>
      <c r="N520" s="8" t="s">
        <v>32</v>
      </c>
      <c r="O520" s="8" t="s">
        <v>22</v>
      </c>
      <c r="P520" s="8" t="s">
        <v>46</v>
      </c>
      <c r="Q520" s="3">
        <f t="shared" si="9"/>
        <v>0.43428301015697135</v>
      </c>
      <c r="R520" s="8" t="str" cm="1">
        <f t="array" ref="R520">_xlfn.IFS(Q520&gt;40%,"Alta",Q520&gt;20%,"Média",Q520&lt;20%,"Baixa")</f>
        <v>Alta</v>
      </c>
    </row>
    <row r="521" spans="1:18" x14ac:dyDescent="0.25">
      <c r="A521" s="5">
        <v>144</v>
      </c>
      <c r="B521" s="6">
        <v>45689</v>
      </c>
      <c r="C521" s="8" t="s">
        <v>16</v>
      </c>
      <c r="D521" s="8" t="s">
        <v>35</v>
      </c>
      <c r="E521" s="8" t="s">
        <v>41</v>
      </c>
      <c r="F521" s="5">
        <v>8039</v>
      </c>
      <c r="G521" s="8" t="s">
        <v>26</v>
      </c>
      <c r="H521" s="8" t="s">
        <v>38</v>
      </c>
      <c r="I521" s="5">
        <v>7</v>
      </c>
      <c r="J521" s="10">
        <v>3082</v>
      </c>
      <c r="K521" s="10">
        <v>21574</v>
      </c>
      <c r="L521" s="10">
        <v>11399.1</v>
      </c>
      <c r="M521" s="10">
        <v>10174.9</v>
      </c>
      <c r="N521" s="8" t="s">
        <v>32</v>
      </c>
      <c r="O521" s="8" t="s">
        <v>39</v>
      </c>
      <c r="P521" s="8" t="s">
        <v>46</v>
      </c>
      <c r="Q521" s="3">
        <f t="shared" si="9"/>
        <v>0.47162788541763234</v>
      </c>
      <c r="R521" s="8" t="str" cm="1">
        <f t="array" ref="R521">_xlfn.IFS(Q521&gt;40%,"Alta",Q521&gt;20%,"Média",Q521&lt;20%,"Baixa")</f>
        <v>Alta</v>
      </c>
    </row>
    <row r="522" spans="1:18" x14ac:dyDescent="0.25">
      <c r="A522" s="5">
        <v>283</v>
      </c>
      <c r="B522" s="6">
        <v>45810</v>
      </c>
      <c r="C522" s="8" t="s">
        <v>24</v>
      </c>
      <c r="D522" s="8" t="s">
        <v>30</v>
      </c>
      <c r="E522" s="8" t="s">
        <v>37</v>
      </c>
      <c r="F522" s="5">
        <v>4642</v>
      </c>
      <c r="G522" s="8" t="s">
        <v>36</v>
      </c>
      <c r="H522" s="8" t="s">
        <v>43</v>
      </c>
      <c r="I522" s="5">
        <v>13</v>
      </c>
      <c r="J522" s="10">
        <v>1658</v>
      </c>
      <c r="K522" s="10">
        <v>21554</v>
      </c>
      <c r="L522" s="10">
        <v>14571.85</v>
      </c>
      <c r="M522" s="10">
        <v>6982.15</v>
      </c>
      <c r="N522" s="8" t="s">
        <v>21</v>
      </c>
      <c r="O522" s="8" t="s">
        <v>39</v>
      </c>
      <c r="P522" s="8" t="s">
        <v>29</v>
      </c>
      <c r="Q522" s="3">
        <f t="shared" si="9"/>
        <v>0.32393755219448822</v>
      </c>
      <c r="R522" s="8" t="str" cm="1">
        <f t="array" ref="R522">_xlfn.IFS(Q522&gt;40%,"Alta",Q522&gt;20%,"Média",Q522&lt;20%,"Baixa")</f>
        <v>Média</v>
      </c>
    </row>
    <row r="523" spans="1:18" x14ac:dyDescent="0.25">
      <c r="A523" s="5">
        <v>824</v>
      </c>
      <c r="B523" s="6">
        <v>45753</v>
      </c>
      <c r="C523" s="8" t="s">
        <v>24</v>
      </c>
      <c r="D523" s="8" t="s">
        <v>30</v>
      </c>
      <c r="E523" s="8" t="s">
        <v>37</v>
      </c>
      <c r="F523" s="5">
        <v>5315</v>
      </c>
      <c r="G523" s="8" t="s">
        <v>26</v>
      </c>
      <c r="H523" s="8" t="s">
        <v>38</v>
      </c>
      <c r="I523" s="5">
        <v>13</v>
      </c>
      <c r="J523" s="10">
        <v>1649</v>
      </c>
      <c r="K523" s="10">
        <v>21437</v>
      </c>
      <c r="L523" s="10">
        <v>16815.060000000001</v>
      </c>
      <c r="M523" s="10">
        <v>4621.9399999999996</v>
      </c>
      <c r="N523" s="8" t="s">
        <v>28</v>
      </c>
      <c r="O523" s="8" t="s">
        <v>33</v>
      </c>
      <c r="P523" s="8" t="s">
        <v>44</v>
      </c>
      <c r="Q523" s="3">
        <f t="shared" si="9"/>
        <v>0.21560572841349068</v>
      </c>
      <c r="R523" s="8" t="str" cm="1">
        <f t="array" ref="R523">_xlfn.IFS(Q523&gt;40%,"Alta",Q523&gt;20%,"Média",Q523&lt;20%,"Baixa")</f>
        <v>Média</v>
      </c>
    </row>
    <row r="524" spans="1:18" x14ac:dyDescent="0.25">
      <c r="A524" s="5">
        <v>601</v>
      </c>
      <c r="B524" s="6">
        <v>45695</v>
      </c>
      <c r="C524" s="8" t="s">
        <v>16</v>
      </c>
      <c r="D524" s="8" t="s">
        <v>30</v>
      </c>
      <c r="E524" s="8" t="s">
        <v>18</v>
      </c>
      <c r="F524" s="5">
        <v>6138</v>
      </c>
      <c r="G524" s="8" t="s">
        <v>19</v>
      </c>
      <c r="H524" s="8" t="s">
        <v>31</v>
      </c>
      <c r="I524" s="5">
        <v>10</v>
      </c>
      <c r="J524" s="10">
        <v>2132</v>
      </c>
      <c r="K524" s="10">
        <v>21320</v>
      </c>
      <c r="L524" s="10">
        <v>16885.73</v>
      </c>
      <c r="M524" s="10">
        <v>4434.2700000000004</v>
      </c>
      <c r="N524" s="8" t="s">
        <v>21</v>
      </c>
      <c r="O524" s="8" t="s">
        <v>22</v>
      </c>
      <c r="P524" s="8" t="s">
        <v>23</v>
      </c>
      <c r="Q524" s="3">
        <f t="shared" si="9"/>
        <v>0.2079863977485929</v>
      </c>
      <c r="R524" s="8" t="str" cm="1">
        <f t="array" ref="R524">_xlfn.IFS(Q524&gt;40%,"Alta",Q524&gt;20%,"Média",Q524&lt;20%,"Baixa")</f>
        <v>Média</v>
      </c>
    </row>
    <row r="525" spans="1:18" x14ac:dyDescent="0.25">
      <c r="A525" s="5">
        <v>988</v>
      </c>
      <c r="B525" s="6">
        <v>45823</v>
      </c>
      <c r="C525" s="8" t="s">
        <v>34</v>
      </c>
      <c r="D525" s="8" t="s">
        <v>45</v>
      </c>
      <c r="E525" s="8" t="s">
        <v>37</v>
      </c>
      <c r="F525" s="5">
        <v>3150</v>
      </c>
      <c r="G525" s="8" t="s">
        <v>26</v>
      </c>
      <c r="H525" s="8" t="s">
        <v>31</v>
      </c>
      <c r="I525" s="5">
        <v>18</v>
      </c>
      <c r="J525" s="10">
        <v>1179</v>
      </c>
      <c r="K525" s="10">
        <v>21222</v>
      </c>
      <c r="L525" s="10">
        <v>14718.42</v>
      </c>
      <c r="M525" s="10">
        <v>6503.58</v>
      </c>
      <c r="N525" s="8" t="s">
        <v>28</v>
      </c>
      <c r="O525" s="8" t="s">
        <v>33</v>
      </c>
      <c r="P525" s="8" t="s">
        <v>46</v>
      </c>
      <c r="Q525" s="3">
        <f t="shared" si="9"/>
        <v>0.30645462256149281</v>
      </c>
      <c r="R525" s="8" t="str" cm="1">
        <f t="array" ref="R525">_xlfn.IFS(Q525&gt;40%,"Alta",Q525&gt;20%,"Média",Q525&lt;20%,"Baixa")</f>
        <v>Média</v>
      </c>
    </row>
    <row r="526" spans="1:18" x14ac:dyDescent="0.25">
      <c r="A526" s="5">
        <v>425</v>
      </c>
      <c r="B526" s="6">
        <v>45701</v>
      </c>
      <c r="C526" s="8" t="s">
        <v>47</v>
      </c>
      <c r="D526" s="8" t="s">
        <v>45</v>
      </c>
      <c r="E526" s="8" t="s">
        <v>41</v>
      </c>
      <c r="F526" s="5">
        <v>9691</v>
      </c>
      <c r="G526" s="8" t="s">
        <v>36</v>
      </c>
      <c r="H526" s="8" t="s">
        <v>43</v>
      </c>
      <c r="I526" s="5">
        <v>10</v>
      </c>
      <c r="J526" s="10">
        <v>2106</v>
      </c>
      <c r="K526" s="10">
        <v>21060</v>
      </c>
      <c r="L526" s="10">
        <v>9347.01</v>
      </c>
      <c r="M526" s="10">
        <v>11712.99</v>
      </c>
      <c r="N526" s="8" t="s">
        <v>32</v>
      </c>
      <c r="O526" s="8" t="s">
        <v>39</v>
      </c>
      <c r="P526" s="8" t="s">
        <v>29</v>
      </c>
      <c r="Q526" s="3">
        <f t="shared" si="9"/>
        <v>0.55617236467236464</v>
      </c>
      <c r="R526" s="8" t="str" cm="1">
        <f t="array" ref="R526">_xlfn.IFS(Q526&gt;40%,"Alta",Q526&gt;20%,"Média",Q526&lt;20%,"Baixa")</f>
        <v>Alta</v>
      </c>
    </row>
    <row r="527" spans="1:18" x14ac:dyDescent="0.25">
      <c r="A527" s="5">
        <v>821</v>
      </c>
      <c r="B527" s="6">
        <v>45663</v>
      </c>
      <c r="C527" s="8" t="s">
        <v>34</v>
      </c>
      <c r="D527" s="8" t="s">
        <v>35</v>
      </c>
      <c r="E527" s="8" t="s">
        <v>37</v>
      </c>
      <c r="F527" s="5">
        <v>2242</v>
      </c>
      <c r="G527" s="8" t="s">
        <v>26</v>
      </c>
      <c r="H527" s="8" t="s">
        <v>20</v>
      </c>
      <c r="I527" s="5">
        <v>5</v>
      </c>
      <c r="J527" s="10">
        <v>4208</v>
      </c>
      <c r="K527" s="10">
        <v>21040</v>
      </c>
      <c r="L527" s="10">
        <v>14420.13</v>
      </c>
      <c r="M527" s="10">
        <v>6619.87</v>
      </c>
      <c r="N527" s="8" t="s">
        <v>28</v>
      </c>
      <c r="O527" s="8" t="s">
        <v>39</v>
      </c>
      <c r="P527" s="8" t="s">
        <v>29</v>
      </c>
      <c r="Q527" s="3">
        <f t="shared" si="9"/>
        <v>0.31463260456273762</v>
      </c>
      <c r="R527" s="8" t="str" cm="1">
        <f t="array" ref="R527">_xlfn.IFS(Q527&gt;40%,"Alta",Q527&gt;20%,"Média",Q527&lt;20%,"Baixa")</f>
        <v>Média</v>
      </c>
    </row>
    <row r="528" spans="1:18" x14ac:dyDescent="0.25">
      <c r="A528" s="5">
        <v>932</v>
      </c>
      <c r="B528" s="6">
        <v>45822</v>
      </c>
      <c r="C528" s="8" t="s">
        <v>16</v>
      </c>
      <c r="D528" s="8" t="s">
        <v>42</v>
      </c>
      <c r="E528" s="8" t="s">
        <v>18</v>
      </c>
      <c r="F528" s="5">
        <v>1209</v>
      </c>
      <c r="G528" s="8" t="s">
        <v>26</v>
      </c>
      <c r="H528" s="8" t="s">
        <v>38</v>
      </c>
      <c r="I528" s="5">
        <v>9</v>
      </c>
      <c r="J528" s="10">
        <v>2321</v>
      </c>
      <c r="K528" s="10">
        <v>20889</v>
      </c>
      <c r="L528" s="10">
        <v>10002.83</v>
      </c>
      <c r="M528" s="10">
        <v>10886.17</v>
      </c>
      <c r="N528" s="8" t="s">
        <v>21</v>
      </c>
      <c r="O528" s="8" t="s">
        <v>33</v>
      </c>
      <c r="P528" s="8" t="s">
        <v>40</v>
      </c>
      <c r="Q528" s="3">
        <f t="shared" si="9"/>
        <v>0.52114366412944613</v>
      </c>
      <c r="R528" s="8" t="str" cm="1">
        <f t="array" ref="R528">_xlfn.IFS(Q528&gt;40%,"Alta",Q528&gt;20%,"Média",Q528&lt;20%,"Baixa")</f>
        <v>Alta</v>
      </c>
    </row>
    <row r="529" spans="1:18" x14ac:dyDescent="0.25">
      <c r="A529" s="5">
        <v>682</v>
      </c>
      <c r="B529" s="6">
        <v>45727</v>
      </c>
      <c r="C529" s="8" t="s">
        <v>47</v>
      </c>
      <c r="D529" s="8" t="s">
        <v>35</v>
      </c>
      <c r="E529" s="8" t="s">
        <v>18</v>
      </c>
      <c r="F529" s="5">
        <v>2684</v>
      </c>
      <c r="G529" s="8" t="s">
        <v>36</v>
      </c>
      <c r="H529" s="8" t="s">
        <v>43</v>
      </c>
      <c r="I529" s="5">
        <v>9</v>
      </c>
      <c r="J529" s="10">
        <v>2294</v>
      </c>
      <c r="K529" s="10">
        <v>20646</v>
      </c>
      <c r="L529" s="10">
        <v>14302.65</v>
      </c>
      <c r="M529" s="10">
        <v>6343.35</v>
      </c>
      <c r="N529" s="8" t="s">
        <v>28</v>
      </c>
      <c r="O529" s="8" t="s">
        <v>33</v>
      </c>
      <c r="P529" s="8" t="s">
        <v>23</v>
      </c>
      <c r="Q529" s="3">
        <f t="shared" si="9"/>
        <v>0.3072435338564371</v>
      </c>
      <c r="R529" s="8" t="str" cm="1">
        <f t="array" ref="R529">_xlfn.IFS(Q529&gt;40%,"Alta",Q529&gt;20%,"Média",Q529&lt;20%,"Baixa")</f>
        <v>Média</v>
      </c>
    </row>
    <row r="530" spans="1:18" x14ac:dyDescent="0.25">
      <c r="A530" s="5">
        <v>213</v>
      </c>
      <c r="B530" s="6">
        <v>45777</v>
      </c>
      <c r="C530" s="8" t="s">
        <v>16</v>
      </c>
      <c r="D530" s="8" t="s">
        <v>42</v>
      </c>
      <c r="E530" s="8" t="s">
        <v>18</v>
      </c>
      <c r="F530" s="5">
        <v>2790</v>
      </c>
      <c r="G530" s="8" t="s">
        <v>36</v>
      </c>
      <c r="H530" s="8" t="s">
        <v>43</v>
      </c>
      <c r="I530" s="5">
        <v>7</v>
      </c>
      <c r="J530" s="10">
        <v>2947</v>
      </c>
      <c r="K530" s="10">
        <v>20629</v>
      </c>
      <c r="L530" s="10">
        <v>12351.58</v>
      </c>
      <c r="M530" s="10">
        <v>8277.42</v>
      </c>
      <c r="N530" s="8" t="s">
        <v>28</v>
      </c>
      <c r="O530" s="8" t="s">
        <v>22</v>
      </c>
      <c r="P530" s="8" t="s">
        <v>29</v>
      </c>
      <c r="Q530" s="3">
        <f t="shared" si="9"/>
        <v>0.40125163604634251</v>
      </c>
      <c r="R530" s="8" t="str" cm="1">
        <f t="array" ref="R530">_xlfn.IFS(Q530&gt;40%,"Alta",Q530&gt;20%,"Média",Q530&lt;20%,"Baixa")</f>
        <v>Alta</v>
      </c>
    </row>
    <row r="531" spans="1:18" x14ac:dyDescent="0.25">
      <c r="A531" s="5">
        <v>479</v>
      </c>
      <c r="B531" s="6">
        <v>45775</v>
      </c>
      <c r="C531" s="8" t="s">
        <v>34</v>
      </c>
      <c r="D531" s="8" t="s">
        <v>30</v>
      </c>
      <c r="E531" s="8" t="s">
        <v>18</v>
      </c>
      <c r="F531" s="5">
        <v>3165</v>
      </c>
      <c r="G531" s="8" t="s">
        <v>26</v>
      </c>
      <c r="H531" s="8" t="s">
        <v>27</v>
      </c>
      <c r="I531" s="5">
        <v>8</v>
      </c>
      <c r="J531" s="10">
        <v>2578</v>
      </c>
      <c r="K531" s="10">
        <v>20624</v>
      </c>
      <c r="L531" s="10">
        <v>12664.39</v>
      </c>
      <c r="M531" s="10">
        <v>7959.61</v>
      </c>
      <c r="N531" s="8" t="s">
        <v>32</v>
      </c>
      <c r="O531" s="8" t="s">
        <v>39</v>
      </c>
      <c r="P531" s="8" t="s">
        <v>44</v>
      </c>
      <c r="Q531" s="3">
        <f t="shared" si="9"/>
        <v>0.38593919705197827</v>
      </c>
      <c r="R531" s="8" t="str" cm="1">
        <f t="array" ref="R531">_xlfn.IFS(Q531&gt;40%,"Alta",Q531&gt;20%,"Média",Q531&lt;20%,"Baixa")</f>
        <v>Média</v>
      </c>
    </row>
    <row r="532" spans="1:18" x14ac:dyDescent="0.25">
      <c r="A532" s="5">
        <v>53</v>
      </c>
      <c r="B532" s="6">
        <v>45759</v>
      </c>
      <c r="C532" s="8" t="s">
        <v>24</v>
      </c>
      <c r="D532" s="8" t="s">
        <v>17</v>
      </c>
      <c r="E532" s="8" t="s">
        <v>37</v>
      </c>
      <c r="F532" s="5">
        <v>4841</v>
      </c>
      <c r="G532" s="8" t="s">
        <v>26</v>
      </c>
      <c r="H532" s="8" t="s">
        <v>43</v>
      </c>
      <c r="I532" s="5">
        <v>6</v>
      </c>
      <c r="J532" s="10">
        <v>3436</v>
      </c>
      <c r="K532" s="10">
        <v>20616</v>
      </c>
      <c r="L532" s="10">
        <v>16396.11</v>
      </c>
      <c r="M532" s="10">
        <v>4219.8900000000003</v>
      </c>
      <c r="N532" s="8" t="s">
        <v>21</v>
      </c>
      <c r="O532" s="8" t="s">
        <v>33</v>
      </c>
      <c r="P532" s="8" t="s">
        <v>40</v>
      </c>
      <c r="Q532" s="3">
        <f t="shared" si="9"/>
        <v>0.20469004656577416</v>
      </c>
      <c r="R532" s="8" t="str" cm="1">
        <f t="array" ref="R532">_xlfn.IFS(Q532&gt;40%,"Alta",Q532&gt;20%,"Média",Q532&lt;20%,"Baixa")</f>
        <v>Média</v>
      </c>
    </row>
    <row r="533" spans="1:18" x14ac:dyDescent="0.25">
      <c r="A533" s="5">
        <v>489</v>
      </c>
      <c r="B533" s="6">
        <v>45681</v>
      </c>
      <c r="C533" s="8" t="s">
        <v>24</v>
      </c>
      <c r="D533" s="8" t="s">
        <v>17</v>
      </c>
      <c r="E533" s="8" t="s">
        <v>37</v>
      </c>
      <c r="F533" s="5">
        <v>7723</v>
      </c>
      <c r="G533" s="8" t="s">
        <v>36</v>
      </c>
      <c r="H533" s="8" t="s">
        <v>20</v>
      </c>
      <c r="I533" s="5">
        <v>5</v>
      </c>
      <c r="J533" s="10">
        <v>4110</v>
      </c>
      <c r="K533" s="10">
        <v>20550</v>
      </c>
      <c r="L533" s="10">
        <v>13564.49</v>
      </c>
      <c r="M533" s="10">
        <v>6985.51</v>
      </c>
      <c r="N533" s="8" t="s">
        <v>21</v>
      </c>
      <c r="O533" s="8" t="s">
        <v>39</v>
      </c>
      <c r="P533" s="8" t="s">
        <v>40</v>
      </c>
      <c r="Q533" s="3">
        <f t="shared" si="9"/>
        <v>0.33992749391727495</v>
      </c>
      <c r="R533" s="8" t="str" cm="1">
        <f t="array" ref="R533">_xlfn.IFS(Q533&gt;40%,"Alta",Q533&gt;20%,"Média",Q533&lt;20%,"Baixa")</f>
        <v>Média</v>
      </c>
    </row>
    <row r="534" spans="1:18" x14ac:dyDescent="0.25">
      <c r="A534" s="5">
        <v>822</v>
      </c>
      <c r="B534" s="6">
        <v>45784</v>
      </c>
      <c r="C534" s="8" t="s">
        <v>47</v>
      </c>
      <c r="D534" s="8" t="s">
        <v>35</v>
      </c>
      <c r="E534" s="8" t="s">
        <v>25</v>
      </c>
      <c r="F534" s="5">
        <v>6232</v>
      </c>
      <c r="G534" s="8" t="s">
        <v>19</v>
      </c>
      <c r="H534" s="8" t="s">
        <v>20</v>
      </c>
      <c r="I534" s="5">
        <v>6</v>
      </c>
      <c r="J534" s="10">
        <v>3424</v>
      </c>
      <c r="K534" s="10">
        <v>20544</v>
      </c>
      <c r="L534" s="10">
        <v>10051.459999999999</v>
      </c>
      <c r="M534" s="10">
        <v>10492.54</v>
      </c>
      <c r="N534" s="8" t="s">
        <v>21</v>
      </c>
      <c r="O534" s="8" t="s">
        <v>33</v>
      </c>
      <c r="P534" s="8" t="s">
        <v>44</v>
      </c>
      <c r="Q534" s="3">
        <f t="shared" si="9"/>
        <v>0.51073500778816205</v>
      </c>
      <c r="R534" s="8" t="str" cm="1">
        <f t="array" ref="R534">_xlfn.IFS(Q534&gt;40%,"Alta",Q534&gt;20%,"Média",Q534&lt;20%,"Baixa")</f>
        <v>Alta</v>
      </c>
    </row>
    <row r="535" spans="1:18" x14ac:dyDescent="0.25">
      <c r="A535" s="5">
        <v>490</v>
      </c>
      <c r="B535" s="6">
        <v>45802</v>
      </c>
      <c r="C535" s="8" t="s">
        <v>34</v>
      </c>
      <c r="D535" s="8" t="s">
        <v>45</v>
      </c>
      <c r="E535" s="8" t="s">
        <v>18</v>
      </c>
      <c r="F535" s="5">
        <v>4182</v>
      </c>
      <c r="G535" s="8" t="s">
        <v>19</v>
      </c>
      <c r="H535" s="8" t="s">
        <v>43</v>
      </c>
      <c r="I535" s="5">
        <v>10</v>
      </c>
      <c r="J535" s="10">
        <v>2021</v>
      </c>
      <c r="K535" s="10">
        <v>20210</v>
      </c>
      <c r="L535" s="10">
        <v>8458.0300000000007</v>
      </c>
      <c r="M535" s="10">
        <v>11751.97</v>
      </c>
      <c r="N535" s="8" t="s">
        <v>28</v>
      </c>
      <c r="O535" s="8" t="s">
        <v>22</v>
      </c>
      <c r="P535" s="8" t="s">
        <v>44</v>
      </c>
      <c r="Q535" s="3">
        <f t="shared" si="9"/>
        <v>0.58149282533399305</v>
      </c>
      <c r="R535" s="8" t="str" cm="1">
        <f t="array" ref="R535">_xlfn.IFS(Q535&gt;40%,"Alta",Q535&gt;20%,"Média",Q535&lt;20%,"Baixa")</f>
        <v>Alta</v>
      </c>
    </row>
    <row r="536" spans="1:18" x14ac:dyDescent="0.25">
      <c r="A536" s="5">
        <v>455</v>
      </c>
      <c r="B536" s="6">
        <v>45752</v>
      </c>
      <c r="C536" s="8" t="s">
        <v>24</v>
      </c>
      <c r="D536" s="8" t="s">
        <v>42</v>
      </c>
      <c r="E536" s="8" t="s">
        <v>18</v>
      </c>
      <c r="F536" s="5">
        <v>3172</v>
      </c>
      <c r="G536" s="8" t="s">
        <v>19</v>
      </c>
      <c r="H536" s="8" t="s">
        <v>20</v>
      </c>
      <c r="I536" s="5">
        <v>11</v>
      </c>
      <c r="J536" s="10">
        <v>1836</v>
      </c>
      <c r="K536" s="10">
        <v>20196</v>
      </c>
      <c r="L536" s="10">
        <v>14095.65</v>
      </c>
      <c r="M536" s="10">
        <v>6100.35</v>
      </c>
      <c r="N536" s="8" t="s">
        <v>32</v>
      </c>
      <c r="O536" s="8" t="s">
        <v>33</v>
      </c>
      <c r="P536" s="8" t="s">
        <v>40</v>
      </c>
      <c r="Q536" s="3">
        <f t="shared" si="9"/>
        <v>0.30205733808674989</v>
      </c>
      <c r="R536" s="8" t="str" cm="1">
        <f t="array" ref="R536">_xlfn.IFS(Q536&gt;40%,"Alta",Q536&gt;20%,"Média",Q536&lt;20%,"Baixa")</f>
        <v>Média</v>
      </c>
    </row>
    <row r="537" spans="1:18" x14ac:dyDescent="0.25">
      <c r="A537" s="5">
        <v>782</v>
      </c>
      <c r="B537" s="6">
        <v>45824</v>
      </c>
      <c r="C537" s="8" t="s">
        <v>34</v>
      </c>
      <c r="D537" s="8" t="s">
        <v>42</v>
      </c>
      <c r="E537" s="8" t="s">
        <v>41</v>
      </c>
      <c r="F537" s="5">
        <v>8203</v>
      </c>
      <c r="G537" s="8" t="s">
        <v>36</v>
      </c>
      <c r="H537" s="8" t="s">
        <v>20</v>
      </c>
      <c r="I537" s="5">
        <v>7</v>
      </c>
      <c r="J537" s="10">
        <v>2862</v>
      </c>
      <c r="K537" s="10">
        <v>20034</v>
      </c>
      <c r="L537" s="10">
        <v>10011.65</v>
      </c>
      <c r="M537" s="10">
        <v>10022.35</v>
      </c>
      <c r="N537" s="8" t="s">
        <v>21</v>
      </c>
      <c r="O537" s="8" t="s">
        <v>33</v>
      </c>
      <c r="P537" s="8" t="s">
        <v>40</v>
      </c>
      <c r="Q537" s="3">
        <f t="shared" si="9"/>
        <v>0.50026704602176297</v>
      </c>
      <c r="R537" s="8" t="str" cm="1">
        <f t="array" ref="R537">_xlfn.IFS(Q537&gt;40%,"Alta",Q537&gt;20%,"Média",Q537&lt;20%,"Baixa")</f>
        <v>Alta</v>
      </c>
    </row>
    <row r="538" spans="1:18" x14ac:dyDescent="0.25">
      <c r="A538" s="5">
        <v>254</v>
      </c>
      <c r="B538" s="6">
        <v>45817</v>
      </c>
      <c r="C538" s="8" t="s">
        <v>24</v>
      </c>
      <c r="D538" s="8" t="s">
        <v>35</v>
      </c>
      <c r="E538" s="8" t="s">
        <v>18</v>
      </c>
      <c r="F538" s="5">
        <v>1557</v>
      </c>
      <c r="G538" s="8" t="s">
        <v>19</v>
      </c>
      <c r="H538" s="8" t="s">
        <v>31</v>
      </c>
      <c r="I538" s="5">
        <v>4</v>
      </c>
      <c r="J538" s="10">
        <v>4986</v>
      </c>
      <c r="K538" s="10">
        <v>19944</v>
      </c>
      <c r="L538" s="10">
        <v>12511.79</v>
      </c>
      <c r="M538" s="10">
        <v>7432.21</v>
      </c>
      <c r="N538" s="8" t="s">
        <v>32</v>
      </c>
      <c r="O538" s="8" t="s">
        <v>39</v>
      </c>
      <c r="P538" s="8" t="s">
        <v>23</v>
      </c>
      <c r="Q538" s="3">
        <f t="shared" si="9"/>
        <v>0.37265393100681909</v>
      </c>
      <c r="R538" s="8" t="str" cm="1">
        <f t="array" ref="R538">_xlfn.IFS(Q538&gt;40%,"Alta",Q538&gt;20%,"Média",Q538&lt;20%,"Baixa")</f>
        <v>Média</v>
      </c>
    </row>
    <row r="539" spans="1:18" x14ac:dyDescent="0.25">
      <c r="A539" s="5">
        <v>19</v>
      </c>
      <c r="B539" s="6">
        <v>45729</v>
      </c>
      <c r="C539" s="8" t="s">
        <v>47</v>
      </c>
      <c r="D539" s="8" t="s">
        <v>17</v>
      </c>
      <c r="E539" s="8" t="s">
        <v>18</v>
      </c>
      <c r="F539" s="5">
        <v>8468</v>
      </c>
      <c r="G539" s="8" t="s">
        <v>36</v>
      </c>
      <c r="H539" s="8" t="s">
        <v>43</v>
      </c>
      <c r="I539" s="5">
        <v>17</v>
      </c>
      <c r="J539" s="10">
        <v>1170</v>
      </c>
      <c r="K539" s="10">
        <v>19890</v>
      </c>
      <c r="L539" s="10">
        <v>15560.31</v>
      </c>
      <c r="M539" s="10">
        <v>4329.6899999999996</v>
      </c>
      <c r="N539" s="8" t="s">
        <v>21</v>
      </c>
      <c r="O539" s="8" t="s">
        <v>39</v>
      </c>
      <c r="P539" s="8" t="s">
        <v>40</v>
      </c>
      <c r="Q539" s="3">
        <f t="shared" si="9"/>
        <v>0.21768174962292608</v>
      </c>
      <c r="R539" s="8" t="str" cm="1">
        <f t="array" ref="R539">_xlfn.IFS(Q539&gt;40%,"Alta",Q539&gt;20%,"Média",Q539&lt;20%,"Baixa")</f>
        <v>Média</v>
      </c>
    </row>
    <row r="540" spans="1:18" x14ac:dyDescent="0.25">
      <c r="A540" s="5">
        <v>23</v>
      </c>
      <c r="B540" s="6">
        <v>45664</v>
      </c>
      <c r="C540" s="8" t="s">
        <v>34</v>
      </c>
      <c r="D540" s="8" t="s">
        <v>17</v>
      </c>
      <c r="E540" s="8" t="s">
        <v>25</v>
      </c>
      <c r="F540" s="5">
        <v>6438</v>
      </c>
      <c r="G540" s="8" t="s">
        <v>19</v>
      </c>
      <c r="H540" s="8" t="s">
        <v>38</v>
      </c>
      <c r="I540" s="5">
        <v>9</v>
      </c>
      <c r="J540" s="10">
        <v>2209</v>
      </c>
      <c r="K540" s="10">
        <v>19881</v>
      </c>
      <c r="L540" s="10">
        <v>9512.4699999999993</v>
      </c>
      <c r="M540" s="10">
        <v>10368.530000000001</v>
      </c>
      <c r="N540" s="8" t="s">
        <v>28</v>
      </c>
      <c r="O540" s="8" t="s">
        <v>22</v>
      </c>
      <c r="P540" s="8" t="s">
        <v>23</v>
      </c>
      <c r="Q540" s="3">
        <f t="shared" si="9"/>
        <v>0.52152960112670388</v>
      </c>
      <c r="R540" s="8" t="str" cm="1">
        <f t="array" ref="R540">_xlfn.IFS(Q540&gt;40%,"Alta",Q540&gt;20%,"Média",Q540&lt;20%,"Baixa")</f>
        <v>Alta</v>
      </c>
    </row>
    <row r="541" spans="1:18" x14ac:dyDescent="0.25">
      <c r="A541" s="5">
        <v>252</v>
      </c>
      <c r="B541" s="6">
        <v>45831</v>
      </c>
      <c r="C541" s="8" t="s">
        <v>24</v>
      </c>
      <c r="D541" s="8" t="s">
        <v>17</v>
      </c>
      <c r="E541" s="8" t="s">
        <v>25</v>
      </c>
      <c r="F541" s="5">
        <v>1666</v>
      </c>
      <c r="G541" s="8" t="s">
        <v>36</v>
      </c>
      <c r="H541" s="8" t="s">
        <v>31</v>
      </c>
      <c r="I541" s="5">
        <v>6</v>
      </c>
      <c r="J541" s="10">
        <v>3299</v>
      </c>
      <c r="K541" s="10">
        <v>19794</v>
      </c>
      <c r="L541" s="10">
        <v>11376.55</v>
      </c>
      <c r="M541" s="10">
        <v>8417.4500000000007</v>
      </c>
      <c r="N541" s="8" t="s">
        <v>21</v>
      </c>
      <c r="O541" s="8" t="s">
        <v>22</v>
      </c>
      <c r="P541" s="8" t="s">
        <v>29</v>
      </c>
      <c r="Q541" s="3">
        <f t="shared" si="9"/>
        <v>0.42525260179852487</v>
      </c>
      <c r="R541" s="8" t="str" cm="1">
        <f t="array" ref="R541">_xlfn.IFS(Q541&gt;40%,"Alta",Q541&gt;20%,"Média",Q541&lt;20%,"Baixa")</f>
        <v>Alta</v>
      </c>
    </row>
    <row r="542" spans="1:18" x14ac:dyDescent="0.25">
      <c r="A542" s="5">
        <v>675</v>
      </c>
      <c r="B542" s="6">
        <v>45671</v>
      </c>
      <c r="C542" s="8" t="s">
        <v>34</v>
      </c>
      <c r="D542" s="8" t="s">
        <v>17</v>
      </c>
      <c r="E542" s="8" t="s">
        <v>41</v>
      </c>
      <c r="F542" s="5">
        <v>4530</v>
      </c>
      <c r="G542" s="8" t="s">
        <v>36</v>
      </c>
      <c r="H542" s="8" t="s">
        <v>20</v>
      </c>
      <c r="I542" s="5">
        <v>18</v>
      </c>
      <c r="J542" s="10">
        <v>1098</v>
      </c>
      <c r="K542" s="10">
        <v>19764</v>
      </c>
      <c r="L542" s="10">
        <v>10623.27</v>
      </c>
      <c r="M542" s="10">
        <v>9140.73</v>
      </c>
      <c r="N542" s="8" t="s">
        <v>28</v>
      </c>
      <c r="O542" s="8" t="s">
        <v>22</v>
      </c>
      <c r="P542" s="8" t="s">
        <v>46</v>
      </c>
      <c r="Q542" s="3">
        <f t="shared" si="9"/>
        <v>0.46249392835458408</v>
      </c>
      <c r="R542" s="8" t="str" cm="1">
        <f t="array" ref="R542">_xlfn.IFS(Q542&gt;40%,"Alta",Q542&gt;20%,"Média",Q542&lt;20%,"Baixa")</f>
        <v>Alta</v>
      </c>
    </row>
    <row r="543" spans="1:18" x14ac:dyDescent="0.25">
      <c r="A543" s="5">
        <v>943</v>
      </c>
      <c r="B543" s="6">
        <v>45764</v>
      </c>
      <c r="C543" s="8" t="s">
        <v>34</v>
      </c>
      <c r="D543" s="8" t="s">
        <v>42</v>
      </c>
      <c r="E543" s="8" t="s">
        <v>18</v>
      </c>
      <c r="F543" s="5">
        <v>5270</v>
      </c>
      <c r="G543" s="8" t="s">
        <v>26</v>
      </c>
      <c r="H543" s="8" t="s">
        <v>27</v>
      </c>
      <c r="I543" s="5">
        <v>18</v>
      </c>
      <c r="J543" s="10">
        <v>1097</v>
      </c>
      <c r="K543" s="10">
        <v>19746</v>
      </c>
      <c r="L543" s="10">
        <v>7929.8</v>
      </c>
      <c r="M543" s="10">
        <v>11816.2</v>
      </c>
      <c r="N543" s="8" t="s">
        <v>28</v>
      </c>
      <c r="O543" s="8" t="s">
        <v>22</v>
      </c>
      <c r="P543" s="8" t="s">
        <v>46</v>
      </c>
      <c r="Q543" s="3">
        <f t="shared" si="9"/>
        <v>0.59840980451737069</v>
      </c>
      <c r="R543" s="8" t="str" cm="1">
        <f t="array" ref="R543">_xlfn.IFS(Q543&gt;40%,"Alta",Q543&gt;20%,"Média",Q543&lt;20%,"Baixa")</f>
        <v>Alta</v>
      </c>
    </row>
    <row r="544" spans="1:18" x14ac:dyDescent="0.25">
      <c r="A544" s="5">
        <v>653</v>
      </c>
      <c r="B544" s="6">
        <v>45753</v>
      </c>
      <c r="C544" s="8" t="s">
        <v>16</v>
      </c>
      <c r="D544" s="8" t="s">
        <v>17</v>
      </c>
      <c r="E544" s="8" t="s">
        <v>41</v>
      </c>
      <c r="F544" s="5">
        <v>4920</v>
      </c>
      <c r="G544" s="8" t="s">
        <v>36</v>
      </c>
      <c r="H544" s="8" t="s">
        <v>43</v>
      </c>
      <c r="I544" s="5">
        <v>20</v>
      </c>
      <c r="J544" s="10">
        <v>984</v>
      </c>
      <c r="K544" s="10">
        <v>19680</v>
      </c>
      <c r="L544" s="10">
        <v>14739.98</v>
      </c>
      <c r="M544" s="10">
        <v>4940.0200000000004</v>
      </c>
      <c r="N544" s="8" t="s">
        <v>28</v>
      </c>
      <c r="O544" s="8" t="s">
        <v>33</v>
      </c>
      <c r="P544" s="8" t="s">
        <v>23</v>
      </c>
      <c r="Q544" s="3">
        <f t="shared" si="9"/>
        <v>0.25101727642276422</v>
      </c>
      <c r="R544" s="8" t="str" cm="1">
        <f t="array" ref="R544">_xlfn.IFS(Q544&gt;40%,"Alta",Q544&gt;20%,"Média",Q544&lt;20%,"Baixa")</f>
        <v>Média</v>
      </c>
    </row>
    <row r="545" spans="1:18" x14ac:dyDescent="0.25">
      <c r="A545" s="5">
        <v>185</v>
      </c>
      <c r="B545" s="6">
        <v>45720</v>
      </c>
      <c r="C545" s="8" t="s">
        <v>47</v>
      </c>
      <c r="D545" s="8" t="s">
        <v>42</v>
      </c>
      <c r="E545" s="8" t="s">
        <v>41</v>
      </c>
      <c r="F545" s="5">
        <v>5710</v>
      </c>
      <c r="G545" s="8" t="s">
        <v>26</v>
      </c>
      <c r="H545" s="8" t="s">
        <v>43</v>
      </c>
      <c r="I545" s="5">
        <v>4</v>
      </c>
      <c r="J545" s="10">
        <v>4885</v>
      </c>
      <c r="K545" s="10">
        <v>19540</v>
      </c>
      <c r="L545" s="10">
        <v>8386.16</v>
      </c>
      <c r="M545" s="10">
        <v>11153.84</v>
      </c>
      <c r="N545" s="8" t="s">
        <v>21</v>
      </c>
      <c r="O545" s="8" t="s">
        <v>39</v>
      </c>
      <c r="P545" s="8" t="s">
        <v>29</v>
      </c>
      <c r="Q545" s="3">
        <f t="shared" si="9"/>
        <v>0.57082088024564992</v>
      </c>
      <c r="R545" s="8" t="str" cm="1">
        <f t="array" ref="R545">_xlfn.IFS(Q545&gt;40%,"Alta",Q545&gt;20%,"Média",Q545&lt;20%,"Baixa")</f>
        <v>Alta</v>
      </c>
    </row>
    <row r="546" spans="1:18" x14ac:dyDescent="0.25">
      <c r="A546" s="5">
        <v>437</v>
      </c>
      <c r="B546" s="6">
        <v>45808</v>
      </c>
      <c r="C546" s="8" t="s">
        <v>16</v>
      </c>
      <c r="D546" s="8" t="s">
        <v>45</v>
      </c>
      <c r="E546" s="8" t="s">
        <v>25</v>
      </c>
      <c r="F546" s="5">
        <v>8300</v>
      </c>
      <c r="G546" s="8" t="s">
        <v>36</v>
      </c>
      <c r="H546" s="8" t="s">
        <v>31</v>
      </c>
      <c r="I546" s="5">
        <v>10</v>
      </c>
      <c r="J546" s="10">
        <v>1951</v>
      </c>
      <c r="K546" s="10">
        <v>19510</v>
      </c>
      <c r="L546" s="10">
        <v>10177.39</v>
      </c>
      <c r="M546" s="10">
        <v>9332.61</v>
      </c>
      <c r="N546" s="8" t="s">
        <v>32</v>
      </c>
      <c r="O546" s="8" t="s">
        <v>33</v>
      </c>
      <c r="P546" s="8" t="s">
        <v>40</v>
      </c>
      <c r="Q546" s="3">
        <f t="shared" si="9"/>
        <v>0.47835007688364944</v>
      </c>
      <c r="R546" s="8" t="str" cm="1">
        <f t="array" ref="R546">_xlfn.IFS(Q546&gt;40%,"Alta",Q546&gt;20%,"Média",Q546&lt;20%,"Baixa")</f>
        <v>Alta</v>
      </c>
    </row>
    <row r="547" spans="1:18" x14ac:dyDescent="0.25">
      <c r="A547" s="5">
        <v>31</v>
      </c>
      <c r="B547" s="6">
        <v>45683</v>
      </c>
      <c r="C547" s="8" t="s">
        <v>47</v>
      </c>
      <c r="D547" s="8" t="s">
        <v>30</v>
      </c>
      <c r="E547" s="8" t="s">
        <v>37</v>
      </c>
      <c r="F547" s="5">
        <v>4874</v>
      </c>
      <c r="G547" s="8" t="s">
        <v>19</v>
      </c>
      <c r="H547" s="8" t="s">
        <v>38</v>
      </c>
      <c r="I547" s="5">
        <v>4</v>
      </c>
      <c r="J547" s="10">
        <v>4873</v>
      </c>
      <c r="K547" s="10">
        <v>19492</v>
      </c>
      <c r="L547" s="10">
        <v>7856.13</v>
      </c>
      <c r="M547" s="10">
        <v>11635.87</v>
      </c>
      <c r="N547" s="8" t="s">
        <v>21</v>
      </c>
      <c r="O547" s="8" t="s">
        <v>39</v>
      </c>
      <c r="P547" s="8" t="s">
        <v>40</v>
      </c>
      <c r="Q547" s="3">
        <f t="shared" si="9"/>
        <v>0.59695618715370413</v>
      </c>
      <c r="R547" s="8" t="str" cm="1">
        <f t="array" ref="R547">_xlfn.IFS(Q547&gt;40%,"Alta",Q547&gt;20%,"Média",Q547&lt;20%,"Baixa")</f>
        <v>Alta</v>
      </c>
    </row>
    <row r="548" spans="1:18" x14ac:dyDescent="0.25">
      <c r="A548" s="5">
        <v>733</v>
      </c>
      <c r="B548" s="6">
        <v>45817</v>
      </c>
      <c r="C548" s="8" t="s">
        <v>24</v>
      </c>
      <c r="D548" s="8" t="s">
        <v>42</v>
      </c>
      <c r="E548" s="8" t="s">
        <v>37</v>
      </c>
      <c r="F548" s="5">
        <v>3118</v>
      </c>
      <c r="G548" s="8" t="s">
        <v>19</v>
      </c>
      <c r="H548" s="8" t="s">
        <v>38</v>
      </c>
      <c r="I548" s="5">
        <v>13</v>
      </c>
      <c r="J548" s="10">
        <v>1497</v>
      </c>
      <c r="K548" s="10">
        <v>19461</v>
      </c>
      <c r="L548" s="10">
        <v>12210.21</v>
      </c>
      <c r="M548" s="10">
        <v>7250.79</v>
      </c>
      <c r="N548" s="8" t="s">
        <v>28</v>
      </c>
      <c r="O548" s="8" t="s">
        <v>22</v>
      </c>
      <c r="P548" s="8" t="s">
        <v>40</v>
      </c>
      <c r="Q548" s="3">
        <f t="shared" si="9"/>
        <v>0.37258054570679822</v>
      </c>
      <c r="R548" s="8" t="str" cm="1">
        <f t="array" ref="R548">_xlfn.IFS(Q548&gt;40%,"Alta",Q548&gt;20%,"Média",Q548&lt;20%,"Baixa")</f>
        <v>Média</v>
      </c>
    </row>
    <row r="549" spans="1:18" x14ac:dyDescent="0.25">
      <c r="A549" s="5">
        <v>740</v>
      </c>
      <c r="B549" s="6">
        <v>45757</v>
      </c>
      <c r="C549" s="8" t="s">
        <v>24</v>
      </c>
      <c r="D549" s="8" t="s">
        <v>17</v>
      </c>
      <c r="E549" s="8" t="s">
        <v>18</v>
      </c>
      <c r="F549" s="5">
        <v>7961</v>
      </c>
      <c r="G549" s="8" t="s">
        <v>19</v>
      </c>
      <c r="H549" s="8" t="s">
        <v>20</v>
      </c>
      <c r="I549" s="5">
        <v>10</v>
      </c>
      <c r="J549" s="10">
        <v>1928</v>
      </c>
      <c r="K549" s="10">
        <v>19280</v>
      </c>
      <c r="L549" s="10">
        <v>10661.78</v>
      </c>
      <c r="M549" s="10">
        <v>8618.2199999999993</v>
      </c>
      <c r="N549" s="8" t="s">
        <v>21</v>
      </c>
      <c r="O549" s="8" t="s">
        <v>22</v>
      </c>
      <c r="P549" s="8" t="s">
        <v>40</v>
      </c>
      <c r="Q549" s="3">
        <f t="shared" si="9"/>
        <v>0.44700311203319498</v>
      </c>
      <c r="R549" s="8" t="str" cm="1">
        <f t="array" ref="R549">_xlfn.IFS(Q549&gt;40%,"Alta",Q549&gt;20%,"Média",Q549&lt;20%,"Baixa")</f>
        <v>Alta</v>
      </c>
    </row>
    <row r="550" spans="1:18" x14ac:dyDescent="0.25">
      <c r="A550" s="5">
        <v>27</v>
      </c>
      <c r="B550" s="6">
        <v>45762</v>
      </c>
      <c r="C550" s="8" t="s">
        <v>47</v>
      </c>
      <c r="D550" s="8" t="s">
        <v>42</v>
      </c>
      <c r="E550" s="8" t="s">
        <v>37</v>
      </c>
      <c r="F550" s="5">
        <v>9097</v>
      </c>
      <c r="G550" s="8" t="s">
        <v>19</v>
      </c>
      <c r="H550" s="8" t="s">
        <v>27</v>
      </c>
      <c r="I550" s="5">
        <v>6</v>
      </c>
      <c r="J550" s="10">
        <v>3209</v>
      </c>
      <c r="K550" s="10">
        <v>19254</v>
      </c>
      <c r="L550" s="10">
        <v>12838.65</v>
      </c>
      <c r="M550" s="10">
        <v>6415.35</v>
      </c>
      <c r="N550" s="8" t="s">
        <v>32</v>
      </c>
      <c r="O550" s="8" t="s">
        <v>33</v>
      </c>
      <c r="P550" s="8" t="s">
        <v>29</v>
      </c>
      <c r="Q550" s="3">
        <f t="shared" si="9"/>
        <v>0.33319569959488937</v>
      </c>
      <c r="R550" s="8" t="str" cm="1">
        <f t="array" ref="R550">_xlfn.IFS(Q550&gt;40%,"Alta",Q550&gt;20%,"Média",Q550&lt;20%,"Baixa")</f>
        <v>Média</v>
      </c>
    </row>
    <row r="551" spans="1:18" x14ac:dyDescent="0.25">
      <c r="A551" s="5">
        <v>803</v>
      </c>
      <c r="B551" s="6">
        <v>45757</v>
      </c>
      <c r="C551" s="8" t="s">
        <v>47</v>
      </c>
      <c r="D551" s="8" t="s">
        <v>17</v>
      </c>
      <c r="E551" s="8" t="s">
        <v>25</v>
      </c>
      <c r="F551" s="5">
        <v>7706</v>
      </c>
      <c r="G551" s="8" t="s">
        <v>19</v>
      </c>
      <c r="H551" s="8" t="s">
        <v>43</v>
      </c>
      <c r="I551" s="5">
        <v>11</v>
      </c>
      <c r="J551" s="10">
        <v>1748</v>
      </c>
      <c r="K551" s="10">
        <v>19228</v>
      </c>
      <c r="L551" s="10">
        <v>11236.28</v>
      </c>
      <c r="M551" s="10">
        <v>7991.72</v>
      </c>
      <c r="N551" s="8" t="s">
        <v>21</v>
      </c>
      <c r="O551" s="8" t="s">
        <v>22</v>
      </c>
      <c r="P551" s="8" t="s">
        <v>44</v>
      </c>
      <c r="Q551" s="3">
        <f t="shared" si="9"/>
        <v>0.41562929061784898</v>
      </c>
      <c r="R551" s="8" t="str" cm="1">
        <f t="array" ref="R551">_xlfn.IFS(Q551&gt;40%,"Alta",Q551&gt;20%,"Média",Q551&lt;20%,"Baixa")</f>
        <v>Alta</v>
      </c>
    </row>
    <row r="552" spans="1:18" x14ac:dyDescent="0.25">
      <c r="A552" s="5">
        <v>367</v>
      </c>
      <c r="B552" s="6">
        <v>45779</v>
      </c>
      <c r="C552" s="8" t="s">
        <v>47</v>
      </c>
      <c r="D552" s="8" t="s">
        <v>17</v>
      </c>
      <c r="E552" s="8" t="s">
        <v>18</v>
      </c>
      <c r="F552" s="5">
        <v>5154</v>
      </c>
      <c r="G552" s="8" t="s">
        <v>26</v>
      </c>
      <c r="H552" s="8" t="s">
        <v>31</v>
      </c>
      <c r="I552" s="5">
        <v>13</v>
      </c>
      <c r="J552" s="10">
        <v>1476</v>
      </c>
      <c r="K552" s="10">
        <v>19188</v>
      </c>
      <c r="L552" s="10">
        <v>9667.68</v>
      </c>
      <c r="M552" s="10">
        <v>9520.32</v>
      </c>
      <c r="N552" s="8" t="s">
        <v>32</v>
      </c>
      <c r="O552" s="8" t="s">
        <v>22</v>
      </c>
      <c r="P552" s="8" t="s">
        <v>23</v>
      </c>
      <c r="Q552" s="3">
        <f t="shared" si="9"/>
        <v>0.49616010006253908</v>
      </c>
      <c r="R552" s="8" t="str" cm="1">
        <f t="array" ref="R552">_xlfn.IFS(Q552&gt;40%,"Alta",Q552&gt;20%,"Média",Q552&lt;20%,"Baixa")</f>
        <v>Alta</v>
      </c>
    </row>
    <row r="553" spans="1:18" x14ac:dyDescent="0.25">
      <c r="A553" s="5">
        <v>783</v>
      </c>
      <c r="B553" s="6">
        <v>45831</v>
      </c>
      <c r="C553" s="8" t="s">
        <v>47</v>
      </c>
      <c r="D553" s="8" t="s">
        <v>30</v>
      </c>
      <c r="E553" s="8" t="s">
        <v>25</v>
      </c>
      <c r="F553" s="5">
        <v>1144</v>
      </c>
      <c r="G553" s="8" t="s">
        <v>19</v>
      </c>
      <c r="H553" s="8" t="s">
        <v>43</v>
      </c>
      <c r="I553" s="5">
        <v>10</v>
      </c>
      <c r="J553" s="10">
        <v>1902</v>
      </c>
      <c r="K553" s="10">
        <v>19020</v>
      </c>
      <c r="L553" s="10">
        <v>8343.2099999999991</v>
      </c>
      <c r="M553" s="10">
        <v>10676.79</v>
      </c>
      <c r="N553" s="8" t="s">
        <v>28</v>
      </c>
      <c r="O553" s="8" t="s">
        <v>39</v>
      </c>
      <c r="P553" s="8" t="s">
        <v>44</v>
      </c>
      <c r="Q553" s="3">
        <f t="shared" si="9"/>
        <v>0.56134542586750791</v>
      </c>
      <c r="R553" s="8" t="str" cm="1">
        <f t="array" ref="R553">_xlfn.IFS(Q553&gt;40%,"Alta",Q553&gt;20%,"Média",Q553&lt;20%,"Baixa")</f>
        <v>Alta</v>
      </c>
    </row>
    <row r="554" spans="1:18" x14ac:dyDescent="0.25">
      <c r="A554" s="5">
        <v>277</v>
      </c>
      <c r="B554" s="6">
        <v>45710</v>
      </c>
      <c r="C554" s="8" t="s">
        <v>24</v>
      </c>
      <c r="D554" s="8" t="s">
        <v>17</v>
      </c>
      <c r="E554" s="8" t="s">
        <v>18</v>
      </c>
      <c r="F554" s="5">
        <v>6358</v>
      </c>
      <c r="G554" s="8" t="s">
        <v>19</v>
      </c>
      <c r="H554" s="8" t="s">
        <v>20</v>
      </c>
      <c r="I554" s="5">
        <v>8</v>
      </c>
      <c r="J554" s="10">
        <v>2356</v>
      </c>
      <c r="K554" s="10">
        <v>18848</v>
      </c>
      <c r="L554" s="10">
        <v>9441.42</v>
      </c>
      <c r="M554" s="10">
        <v>9406.58</v>
      </c>
      <c r="N554" s="8" t="s">
        <v>32</v>
      </c>
      <c r="O554" s="8" t="s">
        <v>39</v>
      </c>
      <c r="P554" s="8" t="s">
        <v>29</v>
      </c>
      <c r="Q554" s="3">
        <f t="shared" si="9"/>
        <v>0.49907576400679116</v>
      </c>
      <c r="R554" s="8" t="str" cm="1">
        <f t="array" ref="R554">_xlfn.IFS(Q554&gt;40%,"Alta",Q554&gt;20%,"Média",Q554&lt;20%,"Baixa")</f>
        <v>Alta</v>
      </c>
    </row>
    <row r="555" spans="1:18" x14ac:dyDescent="0.25">
      <c r="A555" s="5">
        <v>717</v>
      </c>
      <c r="B555" s="6">
        <v>45765</v>
      </c>
      <c r="C555" s="8" t="s">
        <v>16</v>
      </c>
      <c r="D555" s="8" t="s">
        <v>17</v>
      </c>
      <c r="E555" s="8" t="s">
        <v>18</v>
      </c>
      <c r="F555" s="5">
        <v>1969</v>
      </c>
      <c r="G555" s="8" t="s">
        <v>19</v>
      </c>
      <c r="H555" s="8" t="s">
        <v>43</v>
      </c>
      <c r="I555" s="5">
        <v>20</v>
      </c>
      <c r="J555" s="10">
        <v>940</v>
      </c>
      <c r="K555" s="10">
        <v>18800</v>
      </c>
      <c r="L555" s="10">
        <v>11653.1</v>
      </c>
      <c r="M555" s="10">
        <v>7146.9</v>
      </c>
      <c r="N555" s="8" t="s">
        <v>28</v>
      </c>
      <c r="O555" s="8" t="s">
        <v>39</v>
      </c>
      <c r="P555" s="8" t="s">
        <v>44</v>
      </c>
      <c r="Q555" s="3">
        <f t="shared" si="9"/>
        <v>0.38015425531914893</v>
      </c>
      <c r="R555" s="8" t="str" cm="1">
        <f t="array" ref="R555">_xlfn.IFS(Q555&gt;40%,"Alta",Q555&gt;20%,"Média",Q555&lt;20%,"Baixa")</f>
        <v>Média</v>
      </c>
    </row>
    <row r="556" spans="1:18" x14ac:dyDescent="0.25">
      <c r="A556" s="5">
        <v>817</v>
      </c>
      <c r="B556" s="6">
        <v>45822</v>
      </c>
      <c r="C556" s="8" t="s">
        <v>24</v>
      </c>
      <c r="D556" s="8" t="s">
        <v>42</v>
      </c>
      <c r="E556" s="8" t="s">
        <v>37</v>
      </c>
      <c r="F556" s="5">
        <v>3483</v>
      </c>
      <c r="G556" s="8" t="s">
        <v>36</v>
      </c>
      <c r="H556" s="8" t="s">
        <v>31</v>
      </c>
      <c r="I556" s="5">
        <v>14</v>
      </c>
      <c r="J556" s="10">
        <v>1336</v>
      </c>
      <c r="K556" s="10">
        <v>18704</v>
      </c>
      <c r="L556" s="10">
        <v>8550.89</v>
      </c>
      <c r="M556" s="10">
        <v>10153.11</v>
      </c>
      <c r="N556" s="8" t="s">
        <v>32</v>
      </c>
      <c r="O556" s="8" t="s">
        <v>33</v>
      </c>
      <c r="P556" s="8" t="s">
        <v>46</v>
      </c>
      <c r="Q556" s="3">
        <f t="shared" si="9"/>
        <v>0.54283094525235243</v>
      </c>
      <c r="R556" s="8" t="str" cm="1">
        <f t="array" ref="R556">_xlfn.IFS(Q556&gt;40%,"Alta",Q556&gt;20%,"Média",Q556&lt;20%,"Baixa")</f>
        <v>Alta</v>
      </c>
    </row>
    <row r="557" spans="1:18" x14ac:dyDescent="0.25">
      <c r="A557" s="5">
        <v>424</v>
      </c>
      <c r="B557" s="6">
        <v>45814</v>
      </c>
      <c r="C557" s="8" t="s">
        <v>16</v>
      </c>
      <c r="D557" s="8" t="s">
        <v>35</v>
      </c>
      <c r="E557" s="8" t="s">
        <v>25</v>
      </c>
      <c r="F557" s="5">
        <v>2724</v>
      </c>
      <c r="G557" s="8" t="s">
        <v>19</v>
      </c>
      <c r="H557" s="8" t="s">
        <v>20</v>
      </c>
      <c r="I557" s="5">
        <v>10</v>
      </c>
      <c r="J557" s="10">
        <v>1866</v>
      </c>
      <c r="K557" s="10">
        <v>18660</v>
      </c>
      <c r="L557" s="10">
        <v>11809.14</v>
      </c>
      <c r="M557" s="10">
        <v>6850.86</v>
      </c>
      <c r="N557" s="8" t="s">
        <v>21</v>
      </c>
      <c r="O557" s="8" t="s">
        <v>39</v>
      </c>
      <c r="P557" s="8" t="s">
        <v>23</v>
      </c>
      <c r="Q557" s="3">
        <f t="shared" si="9"/>
        <v>0.36714147909967842</v>
      </c>
      <c r="R557" s="8" t="str" cm="1">
        <f t="array" ref="R557">_xlfn.IFS(Q557&gt;40%,"Alta",Q557&gt;20%,"Média",Q557&lt;20%,"Baixa")</f>
        <v>Média</v>
      </c>
    </row>
    <row r="558" spans="1:18" x14ac:dyDescent="0.25">
      <c r="A558" s="5">
        <v>176</v>
      </c>
      <c r="B558" s="6">
        <v>45794</v>
      </c>
      <c r="C558" s="8" t="s">
        <v>47</v>
      </c>
      <c r="D558" s="8" t="s">
        <v>42</v>
      </c>
      <c r="E558" s="8" t="s">
        <v>25</v>
      </c>
      <c r="F558" s="5">
        <v>3123</v>
      </c>
      <c r="G558" s="8" t="s">
        <v>36</v>
      </c>
      <c r="H558" s="8" t="s">
        <v>43</v>
      </c>
      <c r="I558" s="5">
        <v>7</v>
      </c>
      <c r="J558" s="10">
        <v>2660</v>
      </c>
      <c r="K558" s="10">
        <v>18620</v>
      </c>
      <c r="L558" s="10">
        <v>7841.78</v>
      </c>
      <c r="M558" s="10">
        <v>10778.22</v>
      </c>
      <c r="N558" s="8" t="s">
        <v>32</v>
      </c>
      <c r="O558" s="8" t="s">
        <v>22</v>
      </c>
      <c r="P558" s="8" t="s">
        <v>29</v>
      </c>
      <c r="Q558" s="3">
        <f t="shared" si="9"/>
        <v>0.57885177228786244</v>
      </c>
      <c r="R558" s="8" t="str" cm="1">
        <f t="array" ref="R558">_xlfn.IFS(Q558&gt;40%,"Alta",Q558&gt;20%,"Média",Q558&lt;20%,"Baixa")</f>
        <v>Alta</v>
      </c>
    </row>
    <row r="559" spans="1:18" x14ac:dyDescent="0.25">
      <c r="A559" s="5">
        <v>857</v>
      </c>
      <c r="B559" s="6">
        <v>45766</v>
      </c>
      <c r="C559" s="8" t="s">
        <v>16</v>
      </c>
      <c r="D559" s="8" t="s">
        <v>35</v>
      </c>
      <c r="E559" s="8" t="s">
        <v>41</v>
      </c>
      <c r="F559" s="5">
        <v>8379</v>
      </c>
      <c r="G559" s="8" t="s">
        <v>36</v>
      </c>
      <c r="H559" s="8" t="s">
        <v>43</v>
      </c>
      <c r="I559" s="5">
        <v>18</v>
      </c>
      <c r="J559" s="10">
        <v>1032</v>
      </c>
      <c r="K559" s="10">
        <v>18576</v>
      </c>
      <c r="L559" s="10">
        <v>7983.42</v>
      </c>
      <c r="M559" s="10">
        <v>10592.58</v>
      </c>
      <c r="N559" s="8" t="s">
        <v>28</v>
      </c>
      <c r="O559" s="8" t="s">
        <v>33</v>
      </c>
      <c r="P559" s="8" t="s">
        <v>29</v>
      </c>
      <c r="Q559" s="3">
        <f t="shared" si="9"/>
        <v>0.57022932816537464</v>
      </c>
      <c r="R559" s="8" t="str" cm="1">
        <f t="array" ref="R559">_xlfn.IFS(Q559&gt;40%,"Alta",Q559&gt;20%,"Média",Q559&lt;20%,"Baixa")</f>
        <v>Alta</v>
      </c>
    </row>
    <row r="560" spans="1:18" x14ac:dyDescent="0.25">
      <c r="A560" s="5">
        <v>654</v>
      </c>
      <c r="B560" s="6">
        <v>45701</v>
      </c>
      <c r="C560" s="8" t="s">
        <v>47</v>
      </c>
      <c r="D560" s="8" t="s">
        <v>42</v>
      </c>
      <c r="E560" s="8" t="s">
        <v>41</v>
      </c>
      <c r="F560" s="5">
        <v>6889</v>
      </c>
      <c r="G560" s="8" t="s">
        <v>36</v>
      </c>
      <c r="H560" s="8" t="s">
        <v>43</v>
      </c>
      <c r="I560" s="5">
        <v>17</v>
      </c>
      <c r="J560" s="10">
        <v>1088</v>
      </c>
      <c r="K560" s="10">
        <v>18496</v>
      </c>
      <c r="L560" s="10">
        <v>13152.89</v>
      </c>
      <c r="M560" s="10">
        <v>5343.11</v>
      </c>
      <c r="N560" s="8" t="s">
        <v>21</v>
      </c>
      <c r="O560" s="8" t="s">
        <v>39</v>
      </c>
      <c r="P560" s="8" t="s">
        <v>40</v>
      </c>
      <c r="Q560" s="3">
        <f t="shared" si="9"/>
        <v>0.28887921712802767</v>
      </c>
      <c r="R560" s="8" t="str" cm="1">
        <f t="array" ref="R560">_xlfn.IFS(Q560&gt;40%,"Alta",Q560&gt;20%,"Média",Q560&lt;20%,"Baixa")</f>
        <v>Média</v>
      </c>
    </row>
    <row r="561" spans="1:18" x14ac:dyDescent="0.25">
      <c r="A561" s="5">
        <v>650</v>
      </c>
      <c r="B561" s="6">
        <v>45778</v>
      </c>
      <c r="C561" s="8" t="s">
        <v>34</v>
      </c>
      <c r="D561" s="8" t="s">
        <v>17</v>
      </c>
      <c r="E561" s="8" t="s">
        <v>41</v>
      </c>
      <c r="F561" s="5">
        <v>9948</v>
      </c>
      <c r="G561" s="8" t="s">
        <v>26</v>
      </c>
      <c r="H561" s="8" t="s">
        <v>31</v>
      </c>
      <c r="I561" s="5">
        <v>9</v>
      </c>
      <c r="J561" s="10">
        <v>2051</v>
      </c>
      <c r="K561" s="10">
        <v>18459</v>
      </c>
      <c r="L561" s="10">
        <v>13466.69</v>
      </c>
      <c r="M561" s="10">
        <v>4992.3100000000004</v>
      </c>
      <c r="N561" s="8" t="s">
        <v>32</v>
      </c>
      <c r="O561" s="8" t="s">
        <v>33</v>
      </c>
      <c r="P561" s="8" t="s">
        <v>46</v>
      </c>
      <c r="Q561" s="3">
        <f t="shared" si="9"/>
        <v>0.27045397908879137</v>
      </c>
      <c r="R561" s="8" t="str" cm="1">
        <f t="array" ref="R561">_xlfn.IFS(Q561&gt;40%,"Alta",Q561&gt;20%,"Média",Q561&lt;20%,"Baixa")</f>
        <v>Média</v>
      </c>
    </row>
    <row r="562" spans="1:18" x14ac:dyDescent="0.25">
      <c r="A562" s="5">
        <v>624</v>
      </c>
      <c r="B562" s="6">
        <v>45766</v>
      </c>
      <c r="C562" s="8" t="s">
        <v>16</v>
      </c>
      <c r="D562" s="8" t="s">
        <v>17</v>
      </c>
      <c r="E562" s="8" t="s">
        <v>37</v>
      </c>
      <c r="F562" s="5">
        <v>5221</v>
      </c>
      <c r="G562" s="8" t="s">
        <v>19</v>
      </c>
      <c r="H562" s="8" t="s">
        <v>43</v>
      </c>
      <c r="I562" s="5">
        <v>4</v>
      </c>
      <c r="J562" s="10">
        <v>4612</v>
      </c>
      <c r="K562" s="10">
        <v>18448</v>
      </c>
      <c r="L562" s="10">
        <v>10419.17</v>
      </c>
      <c r="M562" s="10">
        <v>8028.83</v>
      </c>
      <c r="N562" s="8" t="s">
        <v>32</v>
      </c>
      <c r="O562" s="8" t="s">
        <v>22</v>
      </c>
      <c r="P562" s="8" t="s">
        <v>44</v>
      </c>
      <c r="Q562" s="3">
        <f t="shared" si="9"/>
        <v>0.43521411535125759</v>
      </c>
      <c r="R562" s="8" t="str" cm="1">
        <f t="array" ref="R562">_xlfn.IFS(Q562&gt;40%,"Alta",Q562&gt;20%,"Média",Q562&lt;20%,"Baixa")</f>
        <v>Alta</v>
      </c>
    </row>
    <row r="563" spans="1:18" x14ac:dyDescent="0.25">
      <c r="A563" s="5">
        <v>888</v>
      </c>
      <c r="B563" s="6">
        <v>45670</v>
      </c>
      <c r="C563" s="8" t="s">
        <v>34</v>
      </c>
      <c r="D563" s="8" t="s">
        <v>42</v>
      </c>
      <c r="E563" s="8" t="s">
        <v>25</v>
      </c>
      <c r="F563" s="5">
        <v>2027</v>
      </c>
      <c r="G563" s="8" t="s">
        <v>26</v>
      </c>
      <c r="H563" s="8" t="s">
        <v>38</v>
      </c>
      <c r="I563" s="5">
        <v>5</v>
      </c>
      <c r="J563" s="10">
        <v>3675</v>
      </c>
      <c r="K563" s="10">
        <v>18375</v>
      </c>
      <c r="L563" s="10">
        <v>12920.33</v>
      </c>
      <c r="M563" s="10">
        <v>5454.67</v>
      </c>
      <c r="N563" s="8" t="s">
        <v>28</v>
      </c>
      <c r="O563" s="8" t="s">
        <v>33</v>
      </c>
      <c r="P563" s="8" t="s">
        <v>29</v>
      </c>
      <c r="Q563" s="3">
        <f t="shared" si="9"/>
        <v>0.29685278911564628</v>
      </c>
      <c r="R563" s="8" t="str" cm="1">
        <f t="array" ref="R563">_xlfn.IFS(Q563&gt;40%,"Alta",Q563&gt;20%,"Média",Q563&lt;20%,"Baixa")</f>
        <v>Média</v>
      </c>
    </row>
    <row r="564" spans="1:18" x14ac:dyDescent="0.25">
      <c r="A564" s="5">
        <v>761</v>
      </c>
      <c r="B564" s="6">
        <v>45753</v>
      </c>
      <c r="C564" s="8" t="s">
        <v>16</v>
      </c>
      <c r="D564" s="8" t="s">
        <v>45</v>
      </c>
      <c r="E564" s="8" t="s">
        <v>41</v>
      </c>
      <c r="F564" s="5">
        <v>1571</v>
      </c>
      <c r="G564" s="8" t="s">
        <v>26</v>
      </c>
      <c r="H564" s="8" t="s">
        <v>43</v>
      </c>
      <c r="I564" s="5">
        <v>10</v>
      </c>
      <c r="J564" s="10">
        <v>1837</v>
      </c>
      <c r="K564" s="10">
        <v>18370</v>
      </c>
      <c r="L564" s="10">
        <v>12921.88</v>
      </c>
      <c r="M564" s="10">
        <v>5448.12</v>
      </c>
      <c r="N564" s="8" t="s">
        <v>28</v>
      </c>
      <c r="O564" s="8" t="s">
        <v>33</v>
      </c>
      <c r="P564" s="8" t="s">
        <v>23</v>
      </c>
      <c r="Q564" s="3">
        <f t="shared" si="9"/>
        <v>0.29657702776265649</v>
      </c>
      <c r="R564" s="8" t="str" cm="1">
        <f t="array" ref="R564">_xlfn.IFS(Q564&gt;40%,"Alta",Q564&gt;20%,"Média",Q564&lt;20%,"Baixa")</f>
        <v>Média</v>
      </c>
    </row>
    <row r="565" spans="1:18" x14ac:dyDescent="0.25">
      <c r="A565" s="5">
        <v>400</v>
      </c>
      <c r="B565" s="6">
        <v>45760</v>
      </c>
      <c r="C565" s="8" t="s">
        <v>24</v>
      </c>
      <c r="D565" s="8" t="s">
        <v>45</v>
      </c>
      <c r="E565" s="8" t="s">
        <v>41</v>
      </c>
      <c r="F565" s="5">
        <v>6277</v>
      </c>
      <c r="G565" s="8" t="s">
        <v>26</v>
      </c>
      <c r="H565" s="8" t="s">
        <v>27</v>
      </c>
      <c r="I565" s="5">
        <v>10</v>
      </c>
      <c r="J565" s="10">
        <v>1834</v>
      </c>
      <c r="K565" s="10">
        <v>18340</v>
      </c>
      <c r="L565" s="10">
        <v>10817.1</v>
      </c>
      <c r="M565" s="10">
        <v>7522.9</v>
      </c>
      <c r="N565" s="8" t="s">
        <v>32</v>
      </c>
      <c r="O565" s="8" t="s">
        <v>33</v>
      </c>
      <c r="P565" s="8" t="s">
        <v>40</v>
      </c>
      <c r="Q565" s="3">
        <f t="shared" si="9"/>
        <v>0.41019083969465647</v>
      </c>
      <c r="R565" s="8" t="str" cm="1">
        <f t="array" ref="R565">_xlfn.IFS(Q565&gt;40%,"Alta",Q565&gt;20%,"Média",Q565&lt;20%,"Baixa")</f>
        <v>Alta</v>
      </c>
    </row>
    <row r="566" spans="1:18" x14ac:dyDescent="0.25">
      <c r="A566" s="5">
        <v>577</v>
      </c>
      <c r="B566" s="6">
        <v>45790</v>
      </c>
      <c r="C566" s="8" t="s">
        <v>24</v>
      </c>
      <c r="D566" s="8" t="s">
        <v>17</v>
      </c>
      <c r="E566" s="8" t="s">
        <v>37</v>
      </c>
      <c r="F566" s="5">
        <v>6323</v>
      </c>
      <c r="G566" s="8" t="s">
        <v>26</v>
      </c>
      <c r="H566" s="8" t="s">
        <v>20</v>
      </c>
      <c r="I566" s="5">
        <v>5</v>
      </c>
      <c r="J566" s="10">
        <v>3654</v>
      </c>
      <c r="K566" s="10">
        <v>18270</v>
      </c>
      <c r="L566" s="10">
        <v>12435.37</v>
      </c>
      <c r="M566" s="10">
        <v>5834.63</v>
      </c>
      <c r="N566" s="8" t="s">
        <v>21</v>
      </c>
      <c r="O566" s="8" t="s">
        <v>39</v>
      </c>
      <c r="P566" s="8" t="s">
        <v>23</v>
      </c>
      <c r="Q566" s="3">
        <f t="shared" si="9"/>
        <v>0.31935577449370556</v>
      </c>
      <c r="R566" s="8" t="str" cm="1">
        <f t="array" ref="R566">_xlfn.IFS(Q566&gt;40%,"Alta",Q566&gt;20%,"Média",Q566&lt;20%,"Baixa")</f>
        <v>Média</v>
      </c>
    </row>
    <row r="567" spans="1:18" x14ac:dyDescent="0.25">
      <c r="A567" s="5">
        <v>939</v>
      </c>
      <c r="B567" s="6">
        <v>45751</v>
      </c>
      <c r="C567" s="8" t="s">
        <v>47</v>
      </c>
      <c r="D567" s="8" t="s">
        <v>35</v>
      </c>
      <c r="E567" s="8" t="s">
        <v>41</v>
      </c>
      <c r="F567" s="5">
        <v>3597</v>
      </c>
      <c r="G567" s="8" t="s">
        <v>36</v>
      </c>
      <c r="H567" s="8" t="s">
        <v>31</v>
      </c>
      <c r="I567" s="5">
        <v>12</v>
      </c>
      <c r="J567" s="10">
        <v>1517</v>
      </c>
      <c r="K567" s="10">
        <v>18204</v>
      </c>
      <c r="L567" s="10">
        <v>8435.8799999999992</v>
      </c>
      <c r="M567" s="10">
        <v>9768.1200000000008</v>
      </c>
      <c r="N567" s="8" t="s">
        <v>21</v>
      </c>
      <c r="O567" s="8" t="s">
        <v>39</v>
      </c>
      <c r="P567" s="8" t="s">
        <v>29</v>
      </c>
      <c r="Q567" s="3">
        <f t="shared" si="9"/>
        <v>0.53659195781147007</v>
      </c>
      <c r="R567" s="8" t="str" cm="1">
        <f t="array" ref="R567">_xlfn.IFS(Q567&gt;40%,"Alta",Q567&gt;20%,"Média",Q567&lt;20%,"Baixa")</f>
        <v>Alta</v>
      </c>
    </row>
    <row r="568" spans="1:18" x14ac:dyDescent="0.25">
      <c r="A568" s="5">
        <v>146</v>
      </c>
      <c r="B568" s="6">
        <v>45722</v>
      </c>
      <c r="C568" s="8" t="s">
        <v>47</v>
      </c>
      <c r="D568" s="8" t="s">
        <v>17</v>
      </c>
      <c r="E568" s="8" t="s">
        <v>25</v>
      </c>
      <c r="F568" s="5">
        <v>1371</v>
      </c>
      <c r="G568" s="8" t="s">
        <v>19</v>
      </c>
      <c r="H568" s="8" t="s">
        <v>20</v>
      </c>
      <c r="I568" s="5">
        <v>7</v>
      </c>
      <c r="J568" s="10">
        <v>2572</v>
      </c>
      <c r="K568" s="10">
        <v>18004</v>
      </c>
      <c r="L568" s="10">
        <v>10657.1</v>
      </c>
      <c r="M568" s="10">
        <v>7346.9</v>
      </c>
      <c r="N568" s="8" t="s">
        <v>21</v>
      </c>
      <c r="O568" s="8" t="s">
        <v>39</v>
      </c>
      <c r="P568" s="8" t="s">
        <v>40</v>
      </c>
      <c r="Q568" s="3">
        <f t="shared" si="9"/>
        <v>0.40807042879360139</v>
      </c>
      <c r="R568" s="8" t="str" cm="1">
        <f t="array" ref="R568">_xlfn.IFS(Q568&gt;40%,"Alta",Q568&gt;20%,"Média",Q568&lt;20%,"Baixa")</f>
        <v>Alta</v>
      </c>
    </row>
    <row r="569" spans="1:18" x14ac:dyDescent="0.25">
      <c r="A569" s="5">
        <v>324</v>
      </c>
      <c r="B569" s="6">
        <v>45745</v>
      </c>
      <c r="C569" s="8" t="s">
        <v>16</v>
      </c>
      <c r="D569" s="8" t="s">
        <v>17</v>
      </c>
      <c r="E569" s="8" t="s">
        <v>18</v>
      </c>
      <c r="F569" s="5">
        <v>8494</v>
      </c>
      <c r="G569" s="8" t="s">
        <v>26</v>
      </c>
      <c r="H569" s="8" t="s">
        <v>20</v>
      </c>
      <c r="I569" s="5">
        <v>16</v>
      </c>
      <c r="J569" s="10">
        <v>1124</v>
      </c>
      <c r="K569" s="10">
        <v>17984</v>
      </c>
      <c r="L569" s="10">
        <v>13339.21</v>
      </c>
      <c r="M569" s="10">
        <v>4644.79</v>
      </c>
      <c r="N569" s="8" t="s">
        <v>21</v>
      </c>
      <c r="O569" s="8" t="s">
        <v>39</v>
      </c>
      <c r="P569" s="8" t="s">
        <v>44</v>
      </c>
      <c r="Q569" s="3">
        <f t="shared" si="9"/>
        <v>0.25827346530249112</v>
      </c>
      <c r="R569" s="8" t="str" cm="1">
        <f t="array" ref="R569">_xlfn.IFS(Q569&gt;40%,"Alta",Q569&gt;20%,"Média",Q569&lt;20%,"Baixa")</f>
        <v>Média</v>
      </c>
    </row>
    <row r="570" spans="1:18" x14ac:dyDescent="0.25">
      <c r="A570" s="5">
        <v>892</v>
      </c>
      <c r="B570" s="6">
        <v>45681</v>
      </c>
      <c r="C570" s="8" t="s">
        <v>16</v>
      </c>
      <c r="D570" s="8" t="s">
        <v>17</v>
      </c>
      <c r="E570" s="8" t="s">
        <v>41</v>
      </c>
      <c r="F570" s="5">
        <v>1259</v>
      </c>
      <c r="G570" s="8" t="s">
        <v>19</v>
      </c>
      <c r="H570" s="8" t="s">
        <v>38</v>
      </c>
      <c r="I570" s="5">
        <v>8</v>
      </c>
      <c r="J570" s="10">
        <v>2248</v>
      </c>
      <c r="K570" s="10">
        <v>17984</v>
      </c>
      <c r="L570" s="10">
        <v>9532.39</v>
      </c>
      <c r="M570" s="10">
        <v>8451.61</v>
      </c>
      <c r="N570" s="8" t="s">
        <v>21</v>
      </c>
      <c r="O570" s="8" t="s">
        <v>39</v>
      </c>
      <c r="P570" s="8" t="s">
        <v>44</v>
      </c>
      <c r="Q570" s="3">
        <f t="shared" si="9"/>
        <v>0.46995162366548043</v>
      </c>
      <c r="R570" s="8" t="str" cm="1">
        <f t="array" ref="R570">_xlfn.IFS(Q570&gt;40%,"Alta",Q570&gt;20%,"Média",Q570&lt;20%,"Baixa")</f>
        <v>Alta</v>
      </c>
    </row>
    <row r="571" spans="1:18" x14ac:dyDescent="0.25">
      <c r="A571" s="5">
        <v>320</v>
      </c>
      <c r="B571" s="6">
        <v>45817</v>
      </c>
      <c r="C571" s="8" t="s">
        <v>16</v>
      </c>
      <c r="D571" s="8" t="s">
        <v>45</v>
      </c>
      <c r="E571" s="8" t="s">
        <v>25</v>
      </c>
      <c r="F571" s="5">
        <v>7094</v>
      </c>
      <c r="G571" s="8" t="s">
        <v>26</v>
      </c>
      <c r="H571" s="8" t="s">
        <v>27</v>
      </c>
      <c r="I571" s="5">
        <v>8</v>
      </c>
      <c r="J571" s="10">
        <v>2247</v>
      </c>
      <c r="K571" s="10">
        <v>17976</v>
      </c>
      <c r="L571" s="10">
        <v>13630.46</v>
      </c>
      <c r="M571" s="10">
        <v>4345.54</v>
      </c>
      <c r="N571" s="8" t="s">
        <v>21</v>
      </c>
      <c r="O571" s="8" t="s">
        <v>39</v>
      </c>
      <c r="P571" s="8" t="s">
        <v>29</v>
      </c>
      <c r="Q571" s="3">
        <f t="shared" si="9"/>
        <v>0.24174121050289274</v>
      </c>
      <c r="R571" s="8" t="str" cm="1">
        <f t="array" ref="R571">_xlfn.IFS(Q571&gt;40%,"Alta",Q571&gt;20%,"Média",Q571&lt;20%,"Baixa")</f>
        <v>Média</v>
      </c>
    </row>
    <row r="572" spans="1:18" x14ac:dyDescent="0.25">
      <c r="A572" s="5">
        <v>738</v>
      </c>
      <c r="B572" s="6">
        <v>45679</v>
      </c>
      <c r="C572" s="8" t="s">
        <v>34</v>
      </c>
      <c r="D572" s="8" t="s">
        <v>45</v>
      </c>
      <c r="E572" s="8" t="s">
        <v>25</v>
      </c>
      <c r="F572" s="5">
        <v>5482</v>
      </c>
      <c r="G572" s="8" t="s">
        <v>36</v>
      </c>
      <c r="H572" s="8" t="s">
        <v>20</v>
      </c>
      <c r="I572" s="5">
        <v>11</v>
      </c>
      <c r="J572" s="10">
        <v>1630</v>
      </c>
      <c r="K572" s="10">
        <v>17930</v>
      </c>
      <c r="L572" s="10">
        <v>7216.18</v>
      </c>
      <c r="M572" s="10">
        <v>10713.82</v>
      </c>
      <c r="N572" s="8" t="s">
        <v>28</v>
      </c>
      <c r="O572" s="8" t="s">
        <v>39</v>
      </c>
      <c r="P572" s="8" t="s">
        <v>23</v>
      </c>
      <c r="Q572" s="3">
        <f t="shared" si="9"/>
        <v>0.59753597322922469</v>
      </c>
      <c r="R572" s="8" t="str" cm="1">
        <f t="array" ref="R572">_xlfn.IFS(Q572&gt;40%,"Alta",Q572&gt;20%,"Média",Q572&lt;20%,"Baixa")</f>
        <v>Alta</v>
      </c>
    </row>
    <row r="573" spans="1:18" x14ac:dyDescent="0.25">
      <c r="A573" s="5">
        <v>220</v>
      </c>
      <c r="B573" s="6">
        <v>45705</v>
      </c>
      <c r="C573" s="8" t="s">
        <v>47</v>
      </c>
      <c r="D573" s="8" t="s">
        <v>45</v>
      </c>
      <c r="E573" s="8" t="s">
        <v>18</v>
      </c>
      <c r="F573" s="5">
        <v>5497</v>
      </c>
      <c r="G573" s="8" t="s">
        <v>36</v>
      </c>
      <c r="H573" s="8" t="s">
        <v>31</v>
      </c>
      <c r="I573" s="5">
        <v>5</v>
      </c>
      <c r="J573" s="10">
        <v>3565</v>
      </c>
      <c r="K573" s="10">
        <v>17825</v>
      </c>
      <c r="L573" s="10">
        <v>11538.31</v>
      </c>
      <c r="M573" s="10">
        <v>6286.69</v>
      </c>
      <c r="N573" s="8" t="s">
        <v>21</v>
      </c>
      <c r="O573" s="8" t="s">
        <v>39</v>
      </c>
      <c r="P573" s="8" t="s">
        <v>23</v>
      </c>
      <c r="Q573" s="3">
        <f t="shared" si="9"/>
        <v>0.35268948106591863</v>
      </c>
      <c r="R573" s="8" t="str" cm="1">
        <f t="array" ref="R573">_xlfn.IFS(Q573&gt;40%,"Alta",Q573&gt;20%,"Média",Q573&lt;20%,"Baixa")</f>
        <v>Média</v>
      </c>
    </row>
    <row r="574" spans="1:18" x14ac:dyDescent="0.25">
      <c r="A574" s="5">
        <v>35</v>
      </c>
      <c r="B574" s="6">
        <v>45796</v>
      </c>
      <c r="C574" s="8" t="s">
        <v>24</v>
      </c>
      <c r="D574" s="8" t="s">
        <v>35</v>
      </c>
      <c r="E574" s="8" t="s">
        <v>25</v>
      </c>
      <c r="F574" s="5">
        <v>8995</v>
      </c>
      <c r="G574" s="8" t="s">
        <v>19</v>
      </c>
      <c r="H574" s="8" t="s">
        <v>31</v>
      </c>
      <c r="I574" s="5">
        <v>4</v>
      </c>
      <c r="J574" s="10">
        <v>4420</v>
      </c>
      <c r="K574" s="10">
        <v>17680</v>
      </c>
      <c r="L574" s="10">
        <v>9585.3799999999992</v>
      </c>
      <c r="M574" s="10">
        <v>8094.62</v>
      </c>
      <c r="N574" s="8" t="s">
        <v>21</v>
      </c>
      <c r="O574" s="8" t="s">
        <v>22</v>
      </c>
      <c r="P574" s="8" t="s">
        <v>23</v>
      </c>
      <c r="Q574" s="3">
        <f t="shared" si="9"/>
        <v>0.45784049773755653</v>
      </c>
      <c r="R574" s="8" t="str" cm="1">
        <f t="array" ref="R574">_xlfn.IFS(Q574&gt;40%,"Alta",Q574&gt;20%,"Média",Q574&lt;20%,"Baixa")</f>
        <v>Alta</v>
      </c>
    </row>
    <row r="575" spans="1:18" x14ac:dyDescent="0.25">
      <c r="A575" s="5">
        <v>42</v>
      </c>
      <c r="B575" s="6">
        <v>45784</v>
      </c>
      <c r="C575" s="8" t="s">
        <v>34</v>
      </c>
      <c r="D575" s="8" t="s">
        <v>17</v>
      </c>
      <c r="E575" s="8" t="s">
        <v>18</v>
      </c>
      <c r="F575" s="5">
        <v>8529</v>
      </c>
      <c r="G575" s="8" t="s">
        <v>26</v>
      </c>
      <c r="H575" s="8" t="s">
        <v>38</v>
      </c>
      <c r="I575" s="5">
        <v>15</v>
      </c>
      <c r="J575" s="10">
        <v>1177</v>
      </c>
      <c r="K575" s="10">
        <v>17655</v>
      </c>
      <c r="L575" s="10">
        <v>10104.27</v>
      </c>
      <c r="M575" s="10">
        <v>7550.73</v>
      </c>
      <c r="N575" s="8" t="s">
        <v>32</v>
      </c>
      <c r="O575" s="8" t="s">
        <v>33</v>
      </c>
      <c r="P575" s="8" t="s">
        <v>46</v>
      </c>
      <c r="Q575" s="3">
        <f t="shared" si="9"/>
        <v>0.42768224299065416</v>
      </c>
      <c r="R575" s="8" t="str" cm="1">
        <f t="array" ref="R575">_xlfn.IFS(Q575&gt;40%,"Alta",Q575&gt;20%,"Média",Q575&lt;20%,"Baixa")</f>
        <v>Alta</v>
      </c>
    </row>
    <row r="576" spans="1:18" x14ac:dyDescent="0.25">
      <c r="A576" s="5">
        <v>38</v>
      </c>
      <c r="B576" s="6">
        <v>45836</v>
      </c>
      <c r="C576" s="8" t="s">
        <v>24</v>
      </c>
      <c r="D576" s="8" t="s">
        <v>35</v>
      </c>
      <c r="E576" s="8" t="s">
        <v>41</v>
      </c>
      <c r="F576" s="5">
        <v>1080</v>
      </c>
      <c r="G576" s="8" t="s">
        <v>26</v>
      </c>
      <c r="H576" s="8" t="s">
        <v>27</v>
      </c>
      <c r="I576" s="5">
        <v>13</v>
      </c>
      <c r="J576" s="10">
        <v>1356</v>
      </c>
      <c r="K576" s="10">
        <v>17628</v>
      </c>
      <c r="L576" s="10">
        <v>10520.75</v>
      </c>
      <c r="M576" s="10">
        <v>7107.25</v>
      </c>
      <c r="N576" s="8" t="s">
        <v>32</v>
      </c>
      <c r="O576" s="8" t="s">
        <v>33</v>
      </c>
      <c r="P576" s="8" t="s">
        <v>29</v>
      </c>
      <c r="Q576" s="3">
        <f t="shared" si="9"/>
        <v>0.40317960063535285</v>
      </c>
      <c r="R576" s="8" t="str" cm="1">
        <f t="array" ref="R576">_xlfn.IFS(Q576&gt;40%,"Alta",Q576&gt;20%,"Média",Q576&lt;20%,"Baixa")</f>
        <v>Alta</v>
      </c>
    </row>
    <row r="577" spans="1:18" x14ac:dyDescent="0.25">
      <c r="A577" s="5">
        <v>561</v>
      </c>
      <c r="B577" s="6">
        <v>45726</v>
      </c>
      <c r="C577" s="8" t="s">
        <v>16</v>
      </c>
      <c r="D577" s="8" t="s">
        <v>42</v>
      </c>
      <c r="E577" s="8" t="s">
        <v>25</v>
      </c>
      <c r="F577" s="5">
        <v>5791</v>
      </c>
      <c r="G577" s="8" t="s">
        <v>26</v>
      </c>
      <c r="H577" s="8" t="s">
        <v>20</v>
      </c>
      <c r="I577" s="5">
        <v>12</v>
      </c>
      <c r="J577" s="10">
        <v>1464</v>
      </c>
      <c r="K577" s="10">
        <v>17568</v>
      </c>
      <c r="L577" s="10">
        <v>8603.39</v>
      </c>
      <c r="M577" s="10">
        <v>8964.61</v>
      </c>
      <c r="N577" s="8" t="s">
        <v>28</v>
      </c>
      <c r="O577" s="8" t="s">
        <v>22</v>
      </c>
      <c r="P577" s="8" t="s">
        <v>44</v>
      </c>
      <c r="Q577" s="3">
        <f t="shared" si="9"/>
        <v>0.51028062386156647</v>
      </c>
      <c r="R577" s="8" t="str" cm="1">
        <f t="array" ref="R577">_xlfn.IFS(Q577&gt;40%,"Alta",Q577&gt;20%,"Média",Q577&lt;20%,"Baixa")</f>
        <v>Alta</v>
      </c>
    </row>
    <row r="578" spans="1:18" x14ac:dyDescent="0.25">
      <c r="A578" s="5">
        <v>773</v>
      </c>
      <c r="B578" s="6">
        <v>45832</v>
      </c>
      <c r="C578" s="8" t="s">
        <v>24</v>
      </c>
      <c r="D578" s="8" t="s">
        <v>42</v>
      </c>
      <c r="E578" s="8" t="s">
        <v>37</v>
      </c>
      <c r="F578" s="5">
        <v>9549</v>
      </c>
      <c r="G578" s="8" t="s">
        <v>26</v>
      </c>
      <c r="H578" s="8" t="s">
        <v>27</v>
      </c>
      <c r="I578" s="5">
        <v>7</v>
      </c>
      <c r="J578" s="10">
        <v>2499</v>
      </c>
      <c r="K578" s="10">
        <v>17493</v>
      </c>
      <c r="L578" s="10">
        <v>13442.5</v>
      </c>
      <c r="M578" s="10">
        <v>4050.5</v>
      </c>
      <c r="N578" s="8" t="s">
        <v>21</v>
      </c>
      <c r="O578" s="8" t="s">
        <v>33</v>
      </c>
      <c r="P578" s="8" t="s">
        <v>44</v>
      </c>
      <c r="Q578" s="3">
        <f t="shared" ref="Q578:Q641" si="10">M578/K578</f>
        <v>0.23154976276224776</v>
      </c>
      <c r="R578" s="8" t="str" cm="1">
        <f t="array" ref="R578">_xlfn.IFS(Q578&gt;40%,"Alta",Q578&gt;20%,"Média",Q578&lt;20%,"Baixa")</f>
        <v>Média</v>
      </c>
    </row>
    <row r="579" spans="1:18" x14ac:dyDescent="0.25">
      <c r="A579" s="5">
        <v>356</v>
      </c>
      <c r="B579" s="6">
        <v>45717</v>
      </c>
      <c r="C579" s="8" t="s">
        <v>34</v>
      </c>
      <c r="D579" s="8" t="s">
        <v>35</v>
      </c>
      <c r="E579" s="8" t="s">
        <v>18</v>
      </c>
      <c r="F579" s="5">
        <v>4488</v>
      </c>
      <c r="G579" s="8" t="s">
        <v>26</v>
      </c>
      <c r="H579" s="8" t="s">
        <v>31</v>
      </c>
      <c r="I579" s="5">
        <v>7</v>
      </c>
      <c r="J579" s="10">
        <v>2497</v>
      </c>
      <c r="K579" s="10">
        <v>17479</v>
      </c>
      <c r="L579" s="10">
        <v>10557.13</v>
      </c>
      <c r="M579" s="10">
        <v>6921.87</v>
      </c>
      <c r="N579" s="8" t="s">
        <v>21</v>
      </c>
      <c r="O579" s="8" t="s">
        <v>39</v>
      </c>
      <c r="P579" s="8" t="s">
        <v>44</v>
      </c>
      <c r="Q579" s="3">
        <f t="shared" si="10"/>
        <v>0.39601064134103781</v>
      </c>
      <c r="R579" s="8" t="str" cm="1">
        <f t="array" ref="R579">_xlfn.IFS(Q579&gt;40%,"Alta",Q579&gt;20%,"Média",Q579&lt;20%,"Baixa")</f>
        <v>Média</v>
      </c>
    </row>
    <row r="580" spans="1:18" x14ac:dyDescent="0.25">
      <c r="A580" s="5">
        <v>967</v>
      </c>
      <c r="B580" s="6">
        <v>45818</v>
      </c>
      <c r="C580" s="8" t="s">
        <v>47</v>
      </c>
      <c r="D580" s="8" t="s">
        <v>17</v>
      </c>
      <c r="E580" s="8" t="s">
        <v>37</v>
      </c>
      <c r="F580" s="5">
        <v>9200</v>
      </c>
      <c r="G580" s="8" t="s">
        <v>36</v>
      </c>
      <c r="H580" s="8" t="s">
        <v>38</v>
      </c>
      <c r="I580" s="5">
        <v>4</v>
      </c>
      <c r="J580" s="10">
        <v>4365</v>
      </c>
      <c r="K580" s="10">
        <v>17460</v>
      </c>
      <c r="L580" s="10">
        <v>8433.41</v>
      </c>
      <c r="M580" s="10">
        <v>9026.59</v>
      </c>
      <c r="N580" s="8" t="s">
        <v>32</v>
      </c>
      <c r="O580" s="8" t="s">
        <v>22</v>
      </c>
      <c r="P580" s="8" t="s">
        <v>44</v>
      </c>
      <c r="Q580" s="3">
        <f t="shared" si="10"/>
        <v>0.51698682703321874</v>
      </c>
      <c r="R580" s="8" t="str" cm="1">
        <f t="array" ref="R580">_xlfn.IFS(Q580&gt;40%,"Alta",Q580&gt;20%,"Média",Q580&lt;20%,"Baixa")</f>
        <v>Alta</v>
      </c>
    </row>
    <row r="581" spans="1:18" x14ac:dyDescent="0.25">
      <c r="A581" s="5">
        <v>763</v>
      </c>
      <c r="B581" s="6">
        <v>45671</v>
      </c>
      <c r="C581" s="8" t="s">
        <v>47</v>
      </c>
      <c r="D581" s="8" t="s">
        <v>45</v>
      </c>
      <c r="E581" s="8" t="s">
        <v>41</v>
      </c>
      <c r="F581" s="5">
        <v>3024</v>
      </c>
      <c r="G581" s="8" t="s">
        <v>26</v>
      </c>
      <c r="H581" s="8" t="s">
        <v>27</v>
      </c>
      <c r="I581" s="5">
        <v>6</v>
      </c>
      <c r="J581" s="10">
        <v>2906</v>
      </c>
      <c r="K581" s="10">
        <v>17436</v>
      </c>
      <c r="L581" s="10">
        <v>11383.82</v>
      </c>
      <c r="M581" s="10">
        <v>6052.18</v>
      </c>
      <c r="N581" s="8" t="s">
        <v>32</v>
      </c>
      <c r="O581" s="8" t="s">
        <v>22</v>
      </c>
      <c r="P581" s="8" t="s">
        <v>44</v>
      </c>
      <c r="Q581" s="3">
        <f t="shared" si="10"/>
        <v>0.3471082817159899</v>
      </c>
      <c r="R581" s="8" t="str" cm="1">
        <f t="array" ref="R581">_xlfn.IFS(Q581&gt;40%,"Alta",Q581&gt;20%,"Média",Q581&lt;20%,"Baixa")</f>
        <v>Média</v>
      </c>
    </row>
    <row r="582" spans="1:18" x14ac:dyDescent="0.25">
      <c r="A582" s="5">
        <v>626</v>
      </c>
      <c r="B582" s="6">
        <v>45669</v>
      </c>
      <c r="C582" s="8" t="s">
        <v>16</v>
      </c>
      <c r="D582" s="8" t="s">
        <v>17</v>
      </c>
      <c r="E582" s="8" t="s">
        <v>41</v>
      </c>
      <c r="F582" s="5">
        <v>4780</v>
      </c>
      <c r="G582" s="8" t="s">
        <v>26</v>
      </c>
      <c r="H582" s="8" t="s">
        <v>43</v>
      </c>
      <c r="I582" s="5">
        <v>14</v>
      </c>
      <c r="J582" s="10">
        <v>1231</v>
      </c>
      <c r="K582" s="10">
        <v>17234</v>
      </c>
      <c r="L582" s="10">
        <v>7850.92</v>
      </c>
      <c r="M582" s="10">
        <v>9383.08</v>
      </c>
      <c r="N582" s="8" t="s">
        <v>28</v>
      </c>
      <c r="O582" s="8" t="s">
        <v>22</v>
      </c>
      <c r="P582" s="8" t="s">
        <v>23</v>
      </c>
      <c r="Q582" s="3">
        <f t="shared" si="10"/>
        <v>0.54445166531275391</v>
      </c>
      <c r="R582" s="8" t="str" cm="1">
        <f t="array" ref="R582">_xlfn.IFS(Q582&gt;40%,"Alta",Q582&gt;20%,"Média",Q582&lt;20%,"Baixa")</f>
        <v>Alta</v>
      </c>
    </row>
    <row r="583" spans="1:18" x14ac:dyDescent="0.25">
      <c r="A583" s="5">
        <v>411</v>
      </c>
      <c r="B583" s="6">
        <v>45815</v>
      </c>
      <c r="C583" s="8" t="s">
        <v>34</v>
      </c>
      <c r="D583" s="8" t="s">
        <v>45</v>
      </c>
      <c r="E583" s="8" t="s">
        <v>25</v>
      </c>
      <c r="F583" s="5">
        <v>6539</v>
      </c>
      <c r="G583" s="8" t="s">
        <v>26</v>
      </c>
      <c r="H583" s="8" t="s">
        <v>38</v>
      </c>
      <c r="I583" s="5">
        <v>14</v>
      </c>
      <c r="J583" s="10">
        <v>1229</v>
      </c>
      <c r="K583" s="10">
        <v>17206</v>
      </c>
      <c r="L583" s="10">
        <v>13536.67</v>
      </c>
      <c r="M583" s="10">
        <v>3669.33</v>
      </c>
      <c r="N583" s="8" t="s">
        <v>28</v>
      </c>
      <c r="O583" s="8" t="s">
        <v>33</v>
      </c>
      <c r="P583" s="8" t="s">
        <v>29</v>
      </c>
      <c r="Q583" s="3">
        <f t="shared" si="10"/>
        <v>0.21325874694873881</v>
      </c>
      <c r="R583" s="8" t="str" cm="1">
        <f t="array" ref="R583">_xlfn.IFS(Q583&gt;40%,"Alta",Q583&gt;20%,"Média",Q583&lt;20%,"Baixa")</f>
        <v>Média</v>
      </c>
    </row>
    <row r="584" spans="1:18" x14ac:dyDescent="0.25">
      <c r="A584" s="5">
        <v>513</v>
      </c>
      <c r="B584" s="6">
        <v>45705</v>
      </c>
      <c r="C584" s="8" t="s">
        <v>16</v>
      </c>
      <c r="D584" s="8" t="s">
        <v>42</v>
      </c>
      <c r="E584" s="8" t="s">
        <v>18</v>
      </c>
      <c r="F584" s="5">
        <v>7461</v>
      </c>
      <c r="G584" s="8" t="s">
        <v>36</v>
      </c>
      <c r="H584" s="8" t="s">
        <v>27</v>
      </c>
      <c r="I584" s="5">
        <v>15</v>
      </c>
      <c r="J584" s="10">
        <v>1146</v>
      </c>
      <c r="K584" s="10">
        <v>17190</v>
      </c>
      <c r="L584" s="10">
        <v>9670.65</v>
      </c>
      <c r="M584" s="10">
        <v>7519.35</v>
      </c>
      <c r="N584" s="8" t="s">
        <v>21</v>
      </c>
      <c r="O584" s="8" t="s">
        <v>22</v>
      </c>
      <c r="P584" s="8" t="s">
        <v>40</v>
      </c>
      <c r="Q584" s="3">
        <f t="shared" si="10"/>
        <v>0.43742582897033161</v>
      </c>
      <c r="R584" s="8" t="str" cm="1">
        <f t="array" ref="R584">_xlfn.IFS(Q584&gt;40%,"Alta",Q584&gt;20%,"Média",Q584&lt;20%,"Baixa")</f>
        <v>Alta</v>
      </c>
    </row>
    <row r="585" spans="1:18" x14ac:dyDescent="0.25">
      <c r="A585" s="5">
        <v>887</v>
      </c>
      <c r="B585" s="6">
        <v>45659</v>
      </c>
      <c r="C585" s="8" t="s">
        <v>16</v>
      </c>
      <c r="D585" s="8" t="s">
        <v>45</v>
      </c>
      <c r="E585" s="8" t="s">
        <v>25</v>
      </c>
      <c r="F585" s="5">
        <v>8252</v>
      </c>
      <c r="G585" s="8" t="s">
        <v>26</v>
      </c>
      <c r="H585" s="8" t="s">
        <v>20</v>
      </c>
      <c r="I585" s="5">
        <v>6</v>
      </c>
      <c r="J585" s="10">
        <v>2865</v>
      </c>
      <c r="K585" s="10">
        <v>17190</v>
      </c>
      <c r="L585" s="10">
        <v>7460.82</v>
      </c>
      <c r="M585" s="10">
        <v>9729.18</v>
      </c>
      <c r="N585" s="8" t="s">
        <v>28</v>
      </c>
      <c r="O585" s="8" t="s">
        <v>33</v>
      </c>
      <c r="P585" s="8" t="s">
        <v>44</v>
      </c>
      <c r="Q585" s="3">
        <f t="shared" si="10"/>
        <v>0.56597905759162304</v>
      </c>
      <c r="R585" s="8" t="str" cm="1">
        <f t="array" ref="R585">_xlfn.IFS(Q585&gt;40%,"Alta",Q585&gt;20%,"Média",Q585&lt;20%,"Baixa")</f>
        <v>Alta</v>
      </c>
    </row>
    <row r="586" spans="1:18" x14ac:dyDescent="0.25">
      <c r="A586" s="5">
        <v>104</v>
      </c>
      <c r="B586" s="6">
        <v>45702</v>
      </c>
      <c r="C586" s="8" t="s">
        <v>34</v>
      </c>
      <c r="D586" s="8" t="s">
        <v>35</v>
      </c>
      <c r="E586" s="8" t="s">
        <v>18</v>
      </c>
      <c r="F586" s="5">
        <v>6939</v>
      </c>
      <c r="G586" s="8" t="s">
        <v>19</v>
      </c>
      <c r="H586" s="8" t="s">
        <v>43</v>
      </c>
      <c r="I586" s="5">
        <v>9</v>
      </c>
      <c r="J586" s="10">
        <v>1897</v>
      </c>
      <c r="K586" s="10">
        <v>17073</v>
      </c>
      <c r="L586" s="10">
        <v>12246.25</v>
      </c>
      <c r="M586" s="10">
        <v>4826.75</v>
      </c>
      <c r="N586" s="8" t="s">
        <v>21</v>
      </c>
      <c r="O586" s="8" t="s">
        <v>22</v>
      </c>
      <c r="P586" s="8" t="s">
        <v>44</v>
      </c>
      <c r="Q586" s="3">
        <f t="shared" si="10"/>
        <v>0.28271246998184268</v>
      </c>
      <c r="R586" s="8" t="str" cm="1">
        <f t="array" ref="R586">_xlfn.IFS(Q586&gt;40%,"Alta",Q586&gt;20%,"Média",Q586&lt;20%,"Baixa")</f>
        <v>Média</v>
      </c>
    </row>
    <row r="587" spans="1:18" x14ac:dyDescent="0.25">
      <c r="A587" s="5">
        <v>809</v>
      </c>
      <c r="B587" s="6">
        <v>45693</v>
      </c>
      <c r="C587" s="8" t="s">
        <v>47</v>
      </c>
      <c r="D587" s="8" t="s">
        <v>45</v>
      </c>
      <c r="E587" s="8" t="s">
        <v>25</v>
      </c>
      <c r="F587" s="5">
        <v>5579</v>
      </c>
      <c r="G587" s="8" t="s">
        <v>26</v>
      </c>
      <c r="H587" s="8" t="s">
        <v>31</v>
      </c>
      <c r="I587" s="5">
        <v>6</v>
      </c>
      <c r="J587" s="10">
        <v>2835</v>
      </c>
      <c r="K587" s="10">
        <v>17010</v>
      </c>
      <c r="L587" s="10">
        <v>12436.17</v>
      </c>
      <c r="M587" s="10">
        <v>4573.83</v>
      </c>
      <c r="N587" s="8" t="s">
        <v>28</v>
      </c>
      <c r="O587" s="8" t="s">
        <v>33</v>
      </c>
      <c r="P587" s="8" t="s">
        <v>29</v>
      </c>
      <c r="Q587" s="3">
        <f t="shared" si="10"/>
        <v>0.2688906525573192</v>
      </c>
      <c r="R587" s="8" t="str" cm="1">
        <f t="array" ref="R587">_xlfn.IFS(Q587&gt;40%,"Alta",Q587&gt;20%,"Média",Q587&lt;20%,"Baixa")</f>
        <v>Média</v>
      </c>
    </row>
    <row r="588" spans="1:18" x14ac:dyDescent="0.25">
      <c r="A588" s="5">
        <v>655</v>
      </c>
      <c r="B588" s="6">
        <v>45800</v>
      </c>
      <c r="C588" s="8" t="s">
        <v>16</v>
      </c>
      <c r="D588" s="8" t="s">
        <v>45</v>
      </c>
      <c r="E588" s="8" t="s">
        <v>41</v>
      </c>
      <c r="F588" s="5">
        <v>8546</v>
      </c>
      <c r="G588" s="8" t="s">
        <v>19</v>
      </c>
      <c r="H588" s="8" t="s">
        <v>31</v>
      </c>
      <c r="I588" s="5">
        <v>11</v>
      </c>
      <c r="J588" s="10">
        <v>1544</v>
      </c>
      <c r="K588" s="10">
        <v>16984</v>
      </c>
      <c r="L588" s="10">
        <v>11844.98</v>
      </c>
      <c r="M588" s="10">
        <v>5139.0200000000004</v>
      </c>
      <c r="N588" s="8" t="s">
        <v>28</v>
      </c>
      <c r="O588" s="8" t="s">
        <v>22</v>
      </c>
      <c r="P588" s="8" t="s">
        <v>44</v>
      </c>
      <c r="Q588" s="3">
        <f t="shared" si="10"/>
        <v>0.30258007536504949</v>
      </c>
      <c r="R588" s="8" t="str" cm="1">
        <f t="array" ref="R588">_xlfn.IFS(Q588&gt;40%,"Alta",Q588&gt;20%,"Média",Q588&lt;20%,"Baixa")</f>
        <v>Média</v>
      </c>
    </row>
    <row r="589" spans="1:18" x14ac:dyDescent="0.25">
      <c r="A589" s="5">
        <v>338</v>
      </c>
      <c r="B589" s="6">
        <v>45659</v>
      </c>
      <c r="C589" s="8" t="s">
        <v>24</v>
      </c>
      <c r="D589" s="8" t="s">
        <v>45</v>
      </c>
      <c r="E589" s="8" t="s">
        <v>41</v>
      </c>
      <c r="F589" s="5">
        <v>1085</v>
      </c>
      <c r="G589" s="8" t="s">
        <v>36</v>
      </c>
      <c r="H589" s="8" t="s">
        <v>43</v>
      </c>
      <c r="I589" s="5">
        <v>19</v>
      </c>
      <c r="J589" s="10">
        <v>890</v>
      </c>
      <c r="K589" s="10">
        <v>16910</v>
      </c>
      <c r="L589" s="10">
        <v>7954.91</v>
      </c>
      <c r="M589" s="10">
        <v>8955.09</v>
      </c>
      <c r="N589" s="8" t="s">
        <v>32</v>
      </c>
      <c r="O589" s="8" t="s">
        <v>33</v>
      </c>
      <c r="P589" s="8" t="s">
        <v>29</v>
      </c>
      <c r="Q589" s="3">
        <f t="shared" si="10"/>
        <v>0.52957362507392081</v>
      </c>
      <c r="R589" s="8" t="str" cm="1">
        <f t="array" ref="R589">_xlfn.IFS(Q589&gt;40%,"Alta",Q589&gt;20%,"Média",Q589&lt;20%,"Baixa")</f>
        <v>Alta</v>
      </c>
    </row>
    <row r="590" spans="1:18" x14ac:dyDescent="0.25">
      <c r="A590" s="5">
        <v>112</v>
      </c>
      <c r="B590" s="6">
        <v>45758</v>
      </c>
      <c r="C590" s="8" t="s">
        <v>34</v>
      </c>
      <c r="D590" s="8" t="s">
        <v>42</v>
      </c>
      <c r="E590" s="8" t="s">
        <v>41</v>
      </c>
      <c r="F590" s="5">
        <v>1843</v>
      </c>
      <c r="G590" s="8" t="s">
        <v>36</v>
      </c>
      <c r="H590" s="8" t="s">
        <v>27</v>
      </c>
      <c r="I590" s="5">
        <v>17</v>
      </c>
      <c r="J590" s="10">
        <v>994</v>
      </c>
      <c r="K590" s="10">
        <v>16898</v>
      </c>
      <c r="L590" s="10">
        <v>8139.96</v>
      </c>
      <c r="M590" s="10">
        <v>8758.0400000000009</v>
      </c>
      <c r="N590" s="8" t="s">
        <v>21</v>
      </c>
      <c r="O590" s="8" t="s">
        <v>33</v>
      </c>
      <c r="P590" s="8" t="s">
        <v>29</v>
      </c>
      <c r="Q590" s="3">
        <f t="shared" si="10"/>
        <v>0.51828855485856318</v>
      </c>
      <c r="R590" s="8" t="str" cm="1">
        <f t="array" ref="R590">_xlfn.IFS(Q590&gt;40%,"Alta",Q590&gt;20%,"Média",Q590&lt;20%,"Baixa")</f>
        <v>Alta</v>
      </c>
    </row>
    <row r="591" spans="1:18" x14ac:dyDescent="0.25">
      <c r="A591" s="5">
        <v>478</v>
      </c>
      <c r="B591" s="6">
        <v>45732</v>
      </c>
      <c r="C591" s="8" t="s">
        <v>47</v>
      </c>
      <c r="D591" s="8" t="s">
        <v>45</v>
      </c>
      <c r="E591" s="8" t="s">
        <v>18</v>
      </c>
      <c r="F591" s="5">
        <v>2446</v>
      </c>
      <c r="G591" s="8" t="s">
        <v>36</v>
      </c>
      <c r="H591" s="8" t="s">
        <v>43</v>
      </c>
      <c r="I591" s="5">
        <v>15</v>
      </c>
      <c r="J591" s="10">
        <v>1126</v>
      </c>
      <c r="K591" s="10">
        <v>16890</v>
      </c>
      <c r="L591" s="10">
        <v>9303.58</v>
      </c>
      <c r="M591" s="10">
        <v>7586.42</v>
      </c>
      <c r="N591" s="8" t="s">
        <v>32</v>
      </c>
      <c r="O591" s="8" t="s">
        <v>22</v>
      </c>
      <c r="P591" s="8" t="s">
        <v>23</v>
      </c>
      <c r="Q591" s="3">
        <f t="shared" si="10"/>
        <v>0.44916637063351095</v>
      </c>
      <c r="R591" s="8" t="str" cm="1">
        <f t="array" ref="R591">_xlfn.IFS(Q591&gt;40%,"Alta",Q591&gt;20%,"Média",Q591&lt;20%,"Baixa")</f>
        <v>Alta</v>
      </c>
    </row>
    <row r="592" spans="1:18" x14ac:dyDescent="0.25">
      <c r="A592" s="5">
        <v>3</v>
      </c>
      <c r="B592" s="6">
        <v>45689</v>
      </c>
      <c r="C592" s="8" t="s">
        <v>24</v>
      </c>
      <c r="D592" s="8" t="s">
        <v>30</v>
      </c>
      <c r="E592" s="8" t="s">
        <v>25</v>
      </c>
      <c r="F592" s="5">
        <v>7394</v>
      </c>
      <c r="G592" s="8" t="s">
        <v>26</v>
      </c>
      <c r="H592" s="8" t="s">
        <v>31</v>
      </c>
      <c r="I592" s="5">
        <v>4</v>
      </c>
      <c r="J592" s="10">
        <v>4216</v>
      </c>
      <c r="K592" s="10">
        <v>16864</v>
      </c>
      <c r="L592" s="10">
        <v>10283.61</v>
      </c>
      <c r="M592" s="10">
        <v>6580.39</v>
      </c>
      <c r="N592" s="8" t="s">
        <v>32</v>
      </c>
      <c r="O592" s="8" t="s">
        <v>33</v>
      </c>
      <c r="P592" s="8" t="s">
        <v>29</v>
      </c>
      <c r="Q592" s="3">
        <f t="shared" si="10"/>
        <v>0.39020339184060721</v>
      </c>
      <c r="R592" s="8" t="str" cm="1">
        <f t="array" ref="R592">_xlfn.IFS(Q592&gt;40%,"Alta",Q592&gt;20%,"Média",Q592&lt;20%,"Baixa")</f>
        <v>Média</v>
      </c>
    </row>
    <row r="593" spans="1:18" x14ac:dyDescent="0.25">
      <c r="A593" s="5">
        <v>532</v>
      </c>
      <c r="B593" s="6">
        <v>45746</v>
      </c>
      <c r="C593" s="8" t="s">
        <v>16</v>
      </c>
      <c r="D593" s="8" t="s">
        <v>42</v>
      </c>
      <c r="E593" s="8" t="s">
        <v>37</v>
      </c>
      <c r="F593" s="5">
        <v>5060</v>
      </c>
      <c r="G593" s="8" t="s">
        <v>36</v>
      </c>
      <c r="H593" s="8" t="s">
        <v>38</v>
      </c>
      <c r="I593" s="5">
        <v>4</v>
      </c>
      <c r="J593" s="10">
        <v>4200</v>
      </c>
      <c r="K593" s="10">
        <v>16800</v>
      </c>
      <c r="L593" s="10">
        <v>7205.63</v>
      </c>
      <c r="M593" s="10">
        <v>9594.3700000000008</v>
      </c>
      <c r="N593" s="8" t="s">
        <v>32</v>
      </c>
      <c r="O593" s="8" t="s">
        <v>33</v>
      </c>
      <c r="P593" s="8" t="s">
        <v>40</v>
      </c>
      <c r="Q593" s="3">
        <f t="shared" si="10"/>
        <v>0.57109345238095244</v>
      </c>
      <c r="R593" s="8" t="str" cm="1">
        <f t="array" ref="R593">_xlfn.IFS(Q593&gt;40%,"Alta",Q593&gt;20%,"Média",Q593&lt;20%,"Baixa")</f>
        <v>Alta</v>
      </c>
    </row>
    <row r="594" spans="1:18" x14ac:dyDescent="0.25">
      <c r="A594" s="5">
        <v>207</v>
      </c>
      <c r="B594" s="6">
        <v>45691</v>
      </c>
      <c r="C594" s="8" t="s">
        <v>34</v>
      </c>
      <c r="D594" s="8" t="s">
        <v>30</v>
      </c>
      <c r="E594" s="8" t="s">
        <v>18</v>
      </c>
      <c r="F594" s="5">
        <v>4953</v>
      </c>
      <c r="G594" s="8" t="s">
        <v>26</v>
      </c>
      <c r="H594" s="8" t="s">
        <v>27</v>
      </c>
      <c r="I594" s="5">
        <v>8</v>
      </c>
      <c r="J594" s="10">
        <v>2062</v>
      </c>
      <c r="K594" s="10">
        <v>16496</v>
      </c>
      <c r="L594" s="10">
        <v>12736.99</v>
      </c>
      <c r="M594" s="10">
        <v>3759.01</v>
      </c>
      <c r="N594" s="8" t="s">
        <v>32</v>
      </c>
      <c r="O594" s="8" t="s">
        <v>33</v>
      </c>
      <c r="P594" s="8" t="s">
        <v>40</v>
      </c>
      <c r="Q594" s="3">
        <f t="shared" si="10"/>
        <v>0.22787403006789525</v>
      </c>
      <c r="R594" s="8" t="str" cm="1">
        <f t="array" ref="R594">_xlfn.IFS(Q594&gt;40%,"Alta",Q594&gt;20%,"Média",Q594&lt;20%,"Baixa")</f>
        <v>Média</v>
      </c>
    </row>
    <row r="595" spans="1:18" x14ac:dyDescent="0.25">
      <c r="A595" s="5">
        <v>179</v>
      </c>
      <c r="B595" s="6">
        <v>45799</v>
      </c>
      <c r="C595" s="8" t="s">
        <v>34</v>
      </c>
      <c r="D595" s="8" t="s">
        <v>35</v>
      </c>
      <c r="E595" s="8" t="s">
        <v>41</v>
      </c>
      <c r="F595" s="5">
        <v>6100</v>
      </c>
      <c r="G595" s="8" t="s">
        <v>19</v>
      </c>
      <c r="H595" s="8" t="s">
        <v>20</v>
      </c>
      <c r="I595" s="5">
        <v>4</v>
      </c>
      <c r="J595" s="10">
        <v>4079</v>
      </c>
      <c r="K595" s="10">
        <v>16316</v>
      </c>
      <c r="L595" s="10">
        <v>11483.76</v>
      </c>
      <c r="M595" s="10">
        <v>4832.24</v>
      </c>
      <c r="N595" s="8" t="s">
        <v>28</v>
      </c>
      <c r="O595" s="8" t="s">
        <v>22</v>
      </c>
      <c r="P595" s="8" t="s">
        <v>46</v>
      </c>
      <c r="Q595" s="3">
        <f t="shared" si="10"/>
        <v>0.29616572689384651</v>
      </c>
      <c r="R595" s="8" t="str" cm="1">
        <f t="array" ref="R595">_xlfn.IFS(Q595&gt;40%,"Alta",Q595&gt;20%,"Média",Q595&lt;20%,"Baixa")</f>
        <v>Média</v>
      </c>
    </row>
    <row r="596" spans="1:18" x14ac:dyDescent="0.25">
      <c r="A596" s="5">
        <v>837</v>
      </c>
      <c r="B596" s="6">
        <v>45752</v>
      </c>
      <c r="C596" s="8" t="s">
        <v>34</v>
      </c>
      <c r="D596" s="8" t="s">
        <v>45</v>
      </c>
      <c r="E596" s="8" t="s">
        <v>25</v>
      </c>
      <c r="F596" s="5">
        <v>8146</v>
      </c>
      <c r="G596" s="8" t="s">
        <v>19</v>
      </c>
      <c r="H596" s="8" t="s">
        <v>31</v>
      </c>
      <c r="I596" s="5">
        <v>19</v>
      </c>
      <c r="J596" s="10">
        <v>856</v>
      </c>
      <c r="K596" s="10">
        <v>16264</v>
      </c>
      <c r="L596" s="10">
        <v>8559.57</v>
      </c>
      <c r="M596" s="10">
        <v>7704.43</v>
      </c>
      <c r="N596" s="8" t="s">
        <v>32</v>
      </c>
      <c r="O596" s="8" t="s">
        <v>33</v>
      </c>
      <c r="P596" s="8" t="s">
        <v>23</v>
      </c>
      <c r="Q596" s="3">
        <f t="shared" si="10"/>
        <v>0.47371064928676831</v>
      </c>
      <c r="R596" s="8" t="str" cm="1">
        <f t="array" ref="R596">_xlfn.IFS(Q596&gt;40%,"Alta",Q596&gt;20%,"Média",Q596&lt;20%,"Baixa")</f>
        <v>Alta</v>
      </c>
    </row>
    <row r="597" spans="1:18" x14ac:dyDescent="0.25">
      <c r="A597" s="5">
        <v>233</v>
      </c>
      <c r="B597" s="6">
        <v>45742</v>
      </c>
      <c r="C597" s="8" t="s">
        <v>24</v>
      </c>
      <c r="D597" s="8" t="s">
        <v>35</v>
      </c>
      <c r="E597" s="8" t="s">
        <v>25</v>
      </c>
      <c r="F597" s="5">
        <v>3955</v>
      </c>
      <c r="G597" s="8" t="s">
        <v>26</v>
      </c>
      <c r="H597" s="8" t="s">
        <v>27</v>
      </c>
      <c r="I597" s="5">
        <v>6</v>
      </c>
      <c r="J597" s="10">
        <v>2709</v>
      </c>
      <c r="K597" s="10">
        <v>16254</v>
      </c>
      <c r="L597" s="10">
        <v>9576.19</v>
      </c>
      <c r="M597" s="10">
        <v>6677.81</v>
      </c>
      <c r="N597" s="8" t="s">
        <v>28</v>
      </c>
      <c r="O597" s="8" t="s">
        <v>39</v>
      </c>
      <c r="P597" s="8" t="s">
        <v>29</v>
      </c>
      <c r="Q597" s="3">
        <f t="shared" si="10"/>
        <v>0.41084102374800052</v>
      </c>
      <c r="R597" s="8" t="str" cm="1">
        <f t="array" ref="R597">_xlfn.IFS(Q597&gt;40%,"Alta",Q597&gt;20%,"Média",Q597&lt;20%,"Baixa")</f>
        <v>Alta</v>
      </c>
    </row>
    <row r="598" spans="1:18" x14ac:dyDescent="0.25">
      <c r="A598" s="5">
        <v>909</v>
      </c>
      <c r="B598" s="6">
        <v>45750</v>
      </c>
      <c r="C598" s="8" t="s">
        <v>34</v>
      </c>
      <c r="D598" s="8" t="s">
        <v>45</v>
      </c>
      <c r="E598" s="8" t="s">
        <v>37</v>
      </c>
      <c r="F598" s="5">
        <v>9183</v>
      </c>
      <c r="G598" s="8" t="s">
        <v>36</v>
      </c>
      <c r="H598" s="8" t="s">
        <v>31</v>
      </c>
      <c r="I598" s="5">
        <v>8</v>
      </c>
      <c r="J598" s="10">
        <v>2025</v>
      </c>
      <c r="K598" s="10">
        <v>16200</v>
      </c>
      <c r="L598" s="10">
        <v>11124.2</v>
      </c>
      <c r="M598" s="10">
        <v>5075.8</v>
      </c>
      <c r="N598" s="8" t="s">
        <v>21</v>
      </c>
      <c r="O598" s="8" t="s">
        <v>33</v>
      </c>
      <c r="P598" s="8" t="s">
        <v>29</v>
      </c>
      <c r="Q598" s="3">
        <f t="shared" si="10"/>
        <v>0.31332098765432098</v>
      </c>
      <c r="R598" s="8" t="str" cm="1">
        <f t="array" ref="R598">_xlfn.IFS(Q598&gt;40%,"Alta",Q598&gt;20%,"Média",Q598&lt;20%,"Baixa")</f>
        <v>Média</v>
      </c>
    </row>
    <row r="599" spans="1:18" x14ac:dyDescent="0.25">
      <c r="A599" s="5">
        <v>375</v>
      </c>
      <c r="B599" s="6">
        <v>45728</v>
      </c>
      <c r="C599" s="8" t="s">
        <v>34</v>
      </c>
      <c r="D599" s="8" t="s">
        <v>17</v>
      </c>
      <c r="E599" s="8" t="s">
        <v>25</v>
      </c>
      <c r="F599" s="5">
        <v>8696</v>
      </c>
      <c r="G599" s="8" t="s">
        <v>36</v>
      </c>
      <c r="H599" s="8" t="s">
        <v>43</v>
      </c>
      <c r="I599" s="5">
        <v>7</v>
      </c>
      <c r="J599" s="10">
        <v>2310</v>
      </c>
      <c r="K599" s="10">
        <v>16170</v>
      </c>
      <c r="L599" s="10">
        <v>7434.17</v>
      </c>
      <c r="M599" s="10">
        <v>8735.83</v>
      </c>
      <c r="N599" s="8" t="s">
        <v>21</v>
      </c>
      <c r="O599" s="8" t="s">
        <v>33</v>
      </c>
      <c r="P599" s="8" t="s">
        <v>23</v>
      </c>
      <c r="Q599" s="3">
        <f t="shared" si="10"/>
        <v>0.54024922696351263</v>
      </c>
      <c r="R599" s="8" t="str" cm="1">
        <f t="array" ref="R599">_xlfn.IFS(Q599&gt;40%,"Alta",Q599&gt;20%,"Média",Q599&lt;20%,"Baixa")</f>
        <v>Alta</v>
      </c>
    </row>
    <row r="600" spans="1:18" x14ac:dyDescent="0.25">
      <c r="A600" s="5">
        <v>557</v>
      </c>
      <c r="B600" s="6">
        <v>45813</v>
      </c>
      <c r="C600" s="8" t="s">
        <v>24</v>
      </c>
      <c r="D600" s="8" t="s">
        <v>35</v>
      </c>
      <c r="E600" s="8" t="s">
        <v>41</v>
      </c>
      <c r="F600" s="5">
        <v>8609</v>
      </c>
      <c r="G600" s="8" t="s">
        <v>36</v>
      </c>
      <c r="H600" s="8" t="s">
        <v>43</v>
      </c>
      <c r="I600" s="5">
        <v>10</v>
      </c>
      <c r="J600" s="10">
        <v>1616</v>
      </c>
      <c r="K600" s="10">
        <v>16160</v>
      </c>
      <c r="L600" s="10">
        <v>12688.84</v>
      </c>
      <c r="M600" s="10">
        <v>3471.16</v>
      </c>
      <c r="N600" s="8" t="s">
        <v>32</v>
      </c>
      <c r="O600" s="8" t="s">
        <v>22</v>
      </c>
      <c r="P600" s="8" t="s">
        <v>40</v>
      </c>
      <c r="Q600" s="3">
        <f t="shared" si="10"/>
        <v>0.21479950495049505</v>
      </c>
      <c r="R600" s="8" t="str" cm="1">
        <f t="array" ref="R600">_xlfn.IFS(Q600&gt;40%,"Alta",Q600&gt;20%,"Média",Q600&lt;20%,"Baixa")</f>
        <v>Média</v>
      </c>
    </row>
    <row r="601" spans="1:18" x14ac:dyDescent="0.25">
      <c r="A601" s="5">
        <v>861</v>
      </c>
      <c r="B601" s="6">
        <v>45803</v>
      </c>
      <c r="C601" s="8" t="s">
        <v>24</v>
      </c>
      <c r="D601" s="8" t="s">
        <v>45</v>
      </c>
      <c r="E601" s="8" t="s">
        <v>18</v>
      </c>
      <c r="F601" s="5">
        <v>2695</v>
      </c>
      <c r="G601" s="8" t="s">
        <v>26</v>
      </c>
      <c r="H601" s="8" t="s">
        <v>43</v>
      </c>
      <c r="I601" s="5">
        <v>9</v>
      </c>
      <c r="J601" s="10">
        <v>1790</v>
      </c>
      <c r="K601" s="10">
        <v>16110</v>
      </c>
      <c r="L601" s="10">
        <v>9962.2000000000007</v>
      </c>
      <c r="M601" s="10">
        <v>6147.8</v>
      </c>
      <c r="N601" s="8" t="s">
        <v>21</v>
      </c>
      <c r="O601" s="8" t="s">
        <v>33</v>
      </c>
      <c r="P601" s="8" t="s">
        <v>29</v>
      </c>
      <c r="Q601" s="3">
        <f t="shared" si="10"/>
        <v>0.3816139044072005</v>
      </c>
      <c r="R601" s="8" t="str" cm="1">
        <f t="array" ref="R601">_xlfn.IFS(Q601&gt;40%,"Alta",Q601&gt;20%,"Média",Q601&lt;20%,"Baixa")</f>
        <v>Média</v>
      </c>
    </row>
    <row r="602" spans="1:18" x14ac:dyDescent="0.25">
      <c r="A602" s="5">
        <v>750</v>
      </c>
      <c r="B602" s="6">
        <v>45706</v>
      </c>
      <c r="C602" s="8" t="s">
        <v>47</v>
      </c>
      <c r="D602" s="8" t="s">
        <v>35</v>
      </c>
      <c r="E602" s="8" t="s">
        <v>37</v>
      </c>
      <c r="F602" s="5">
        <v>2441</v>
      </c>
      <c r="G602" s="8" t="s">
        <v>36</v>
      </c>
      <c r="H602" s="8" t="s">
        <v>43</v>
      </c>
      <c r="I602" s="5">
        <v>13</v>
      </c>
      <c r="J602" s="10">
        <v>1233</v>
      </c>
      <c r="K602" s="10">
        <v>16029</v>
      </c>
      <c r="L602" s="10">
        <v>12175.55</v>
      </c>
      <c r="M602" s="10">
        <v>3853.45</v>
      </c>
      <c r="N602" s="8" t="s">
        <v>21</v>
      </c>
      <c r="O602" s="8" t="s">
        <v>33</v>
      </c>
      <c r="P602" s="8" t="s">
        <v>23</v>
      </c>
      <c r="Q602" s="3">
        <f t="shared" si="10"/>
        <v>0.24040489113481814</v>
      </c>
      <c r="R602" s="8" t="str" cm="1">
        <f t="array" ref="R602">_xlfn.IFS(Q602&gt;40%,"Alta",Q602&gt;20%,"Média",Q602&lt;20%,"Baixa")</f>
        <v>Média</v>
      </c>
    </row>
    <row r="603" spans="1:18" x14ac:dyDescent="0.25">
      <c r="A603" s="5">
        <v>689</v>
      </c>
      <c r="B603" s="6">
        <v>45752</v>
      </c>
      <c r="C603" s="8" t="s">
        <v>34</v>
      </c>
      <c r="D603" s="8" t="s">
        <v>35</v>
      </c>
      <c r="E603" s="8" t="s">
        <v>18</v>
      </c>
      <c r="F603" s="5">
        <v>3581</v>
      </c>
      <c r="G603" s="8" t="s">
        <v>26</v>
      </c>
      <c r="H603" s="8" t="s">
        <v>43</v>
      </c>
      <c r="I603" s="5">
        <v>15</v>
      </c>
      <c r="J603" s="10">
        <v>1067</v>
      </c>
      <c r="K603" s="10">
        <v>16005</v>
      </c>
      <c r="L603" s="10">
        <v>7953.21</v>
      </c>
      <c r="M603" s="10">
        <v>8051.79</v>
      </c>
      <c r="N603" s="8" t="s">
        <v>21</v>
      </c>
      <c r="O603" s="8" t="s">
        <v>39</v>
      </c>
      <c r="P603" s="8" t="s">
        <v>23</v>
      </c>
      <c r="Q603" s="3">
        <f t="shared" si="10"/>
        <v>0.5030796626054358</v>
      </c>
      <c r="R603" s="8" t="str" cm="1">
        <f t="array" ref="R603">_xlfn.IFS(Q603&gt;40%,"Alta",Q603&gt;20%,"Média",Q603&lt;20%,"Baixa")</f>
        <v>Alta</v>
      </c>
    </row>
    <row r="604" spans="1:18" x14ac:dyDescent="0.25">
      <c r="A604" s="5">
        <v>677</v>
      </c>
      <c r="B604" s="6">
        <v>45680</v>
      </c>
      <c r="C604" s="8" t="s">
        <v>16</v>
      </c>
      <c r="D604" s="8" t="s">
        <v>30</v>
      </c>
      <c r="E604" s="8" t="s">
        <v>18</v>
      </c>
      <c r="F604" s="5">
        <v>2932</v>
      </c>
      <c r="G604" s="8" t="s">
        <v>19</v>
      </c>
      <c r="H604" s="8" t="s">
        <v>31</v>
      </c>
      <c r="I604" s="5">
        <v>14</v>
      </c>
      <c r="J604" s="10">
        <v>1131</v>
      </c>
      <c r="K604" s="10">
        <v>15834</v>
      </c>
      <c r="L604" s="10">
        <v>11502.64</v>
      </c>
      <c r="M604" s="10">
        <v>4331.3599999999997</v>
      </c>
      <c r="N604" s="8" t="s">
        <v>28</v>
      </c>
      <c r="O604" s="8" t="s">
        <v>22</v>
      </c>
      <c r="P604" s="8" t="s">
        <v>46</v>
      </c>
      <c r="Q604" s="3">
        <f t="shared" si="10"/>
        <v>0.27354806113426799</v>
      </c>
      <c r="R604" s="8" t="str" cm="1">
        <f t="array" ref="R604">_xlfn.IFS(Q604&gt;40%,"Alta",Q604&gt;20%,"Média",Q604&lt;20%,"Baixa")</f>
        <v>Média</v>
      </c>
    </row>
    <row r="605" spans="1:18" x14ac:dyDescent="0.25">
      <c r="A605" s="5">
        <v>874</v>
      </c>
      <c r="B605" s="6">
        <v>45790</v>
      </c>
      <c r="C605" s="8" t="s">
        <v>34</v>
      </c>
      <c r="D605" s="8" t="s">
        <v>42</v>
      </c>
      <c r="E605" s="8" t="s">
        <v>25</v>
      </c>
      <c r="F605" s="5">
        <v>5775</v>
      </c>
      <c r="G605" s="8" t="s">
        <v>26</v>
      </c>
      <c r="H605" s="8" t="s">
        <v>38</v>
      </c>
      <c r="I605" s="5">
        <v>14</v>
      </c>
      <c r="J605" s="10">
        <v>1128</v>
      </c>
      <c r="K605" s="10">
        <v>15792</v>
      </c>
      <c r="L605" s="10">
        <v>11534.38</v>
      </c>
      <c r="M605" s="10">
        <v>4257.62</v>
      </c>
      <c r="N605" s="8" t="s">
        <v>21</v>
      </c>
      <c r="O605" s="8" t="s">
        <v>22</v>
      </c>
      <c r="P605" s="8" t="s">
        <v>40</v>
      </c>
      <c r="Q605" s="3">
        <f t="shared" si="10"/>
        <v>0.26960612968591691</v>
      </c>
      <c r="R605" s="8" t="str" cm="1">
        <f t="array" ref="R605">_xlfn.IFS(Q605&gt;40%,"Alta",Q605&gt;20%,"Média",Q605&lt;20%,"Baixa")</f>
        <v>Média</v>
      </c>
    </row>
    <row r="606" spans="1:18" x14ac:dyDescent="0.25">
      <c r="A606" s="5">
        <v>810</v>
      </c>
      <c r="B606" s="6">
        <v>45700</v>
      </c>
      <c r="C606" s="8" t="s">
        <v>16</v>
      </c>
      <c r="D606" s="8" t="s">
        <v>17</v>
      </c>
      <c r="E606" s="8" t="s">
        <v>18</v>
      </c>
      <c r="F606" s="5">
        <v>6007</v>
      </c>
      <c r="G606" s="8" t="s">
        <v>36</v>
      </c>
      <c r="H606" s="8" t="s">
        <v>31</v>
      </c>
      <c r="I606" s="5">
        <v>12</v>
      </c>
      <c r="J606" s="10">
        <v>1307</v>
      </c>
      <c r="K606" s="10">
        <v>15684</v>
      </c>
      <c r="L606" s="10">
        <v>10287.67</v>
      </c>
      <c r="M606" s="10">
        <v>5396.33</v>
      </c>
      <c r="N606" s="8" t="s">
        <v>32</v>
      </c>
      <c r="O606" s="8" t="s">
        <v>33</v>
      </c>
      <c r="P606" s="8" t="s">
        <v>29</v>
      </c>
      <c r="Q606" s="3">
        <f t="shared" si="10"/>
        <v>0.34406592705942363</v>
      </c>
      <c r="R606" s="8" t="str" cm="1">
        <f t="array" ref="R606">_xlfn.IFS(Q606&gt;40%,"Alta",Q606&gt;20%,"Média",Q606&lt;20%,"Baixa")</f>
        <v>Média</v>
      </c>
    </row>
    <row r="607" spans="1:18" x14ac:dyDescent="0.25">
      <c r="A607" s="5">
        <v>950</v>
      </c>
      <c r="B607" s="6">
        <v>45737</v>
      </c>
      <c r="C607" s="8" t="s">
        <v>16</v>
      </c>
      <c r="D607" s="8" t="s">
        <v>17</v>
      </c>
      <c r="E607" s="8" t="s">
        <v>41</v>
      </c>
      <c r="F607" s="5">
        <v>1366</v>
      </c>
      <c r="G607" s="8" t="s">
        <v>19</v>
      </c>
      <c r="H607" s="8" t="s">
        <v>27</v>
      </c>
      <c r="I607" s="5">
        <v>12</v>
      </c>
      <c r="J607" s="10">
        <v>1305</v>
      </c>
      <c r="K607" s="10">
        <v>15660</v>
      </c>
      <c r="L607" s="10">
        <v>8573.83</v>
      </c>
      <c r="M607" s="10">
        <v>7086.17</v>
      </c>
      <c r="N607" s="8" t="s">
        <v>21</v>
      </c>
      <c r="O607" s="8" t="s">
        <v>39</v>
      </c>
      <c r="P607" s="8" t="s">
        <v>23</v>
      </c>
      <c r="Q607" s="3">
        <f t="shared" si="10"/>
        <v>0.45250127713920818</v>
      </c>
      <c r="R607" s="8" t="str" cm="1">
        <f t="array" ref="R607">_xlfn.IFS(Q607&gt;40%,"Alta",Q607&gt;20%,"Média",Q607&lt;20%,"Baixa")</f>
        <v>Alta</v>
      </c>
    </row>
    <row r="608" spans="1:18" x14ac:dyDescent="0.25">
      <c r="A608" s="5">
        <v>781</v>
      </c>
      <c r="B608" s="6">
        <v>45795</v>
      </c>
      <c r="C608" s="8" t="s">
        <v>16</v>
      </c>
      <c r="D608" s="8" t="s">
        <v>17</v>
      </c>
      <c r="E608" s="8" t="s">
        <v>41</v>
      </c>
      <c r="F608" s="5">
        <v>1647</v>
      </c>
      <c r="G608" s="8" t="s">
        <v>26</v>
      </c>
      <c r="H608" s="8" t="s">
        <v>27</v>
      </c>
      <c r="I608" s="5">
        <v>12</v>
      </c>
      <c r="J608" s="10">
        <v>1303</v>
      </c>
      <c r="K608" s="10">
        <v>15636</v>
      </c>
      <c r="L608" s="10">
        <v>9711.9</v>
      </c>
      <c r="M608" s="10">
        <v>5924.1</v>
      </c>
      <c r="N608" s="8" t="s">
        <v>28</v>
      </c>
      <c r="O608" s="8" t="s">
        <v>22</v>
      </c>
      <c r="P608" s="8" t="s">
        <v>44</v>
      </c>
      <c r="Q608" s="3">
        <f t="shared" si="10"/>
        <v>0.37887567152724483</v>
      </c>
      <c r="R608" s="8" t="str" cm="1">
        <f t="array" ref="R608">_xlfn.IFS(Q608&gt;40%,"Alta",Q608&gt;20%,"Média",Q608&lt;20%,"Baixa")</f>
        <v>Média</v>
      </c>
    </row>
    <row r="609" spans="1:18" x14ac:dyDescent="0.25">
      <c r="A609" s="5">
        <v>101</v>
      </c>
      <c r="B609" s="6">
        <v>45801</v>
      </c>
      <c r="C609" s="8" t="s">
        <v>47</v>
      </c>
      <c r="D609" s="8" t="s">
        <v>17</v>
      </c>
      <c r="E609" s="8" t="s">
        <v>25</v>
      </c>
      <c r="F609" s="5">
        <v>9815</v>
      </c>
      <c r="G609" s="8" t="s">
        <v>26</v>
      </c>
      <c r="H609" s="8" t="s">
        <v>20</v>
      </c>
      <c r="I609" s="5">
        <v>8</v>
      </c>
      <c r="J609" s="10">
        <v>1954</v>
      </c>
      <c r="K609" s="10">
        <v>15632</v>
      </c>
      <c r="L609" s="10">
        <v>9373.2099999999991</v>
      </c>
      <c r="M609" s="10">
        <v>6258.79</v>
      </c>
      <c r="N609" s="8" t="s">
        <v>32</v>
      </c>
      <c r="O609" s="8" t="s">
        <v>22</v>
      </c>
      <c r="P609" s="8" t="s">
        <v>23</v>
      </c>
      <c r="Q609" s="3">
        <f t="shared" si="10"/>
        <v>0.40038318833162745</v>
      </c>
      <c r="R609" s="8" t="str" cm="1">
        <f t="array" ref="R609">_xlfn.IFS(Q609&gt;40%,"Alta",Q609&gt;20%,"Média",Q609&lt;20%,"Baixa")</f>
        <v>Alta</v>
      </c>
    </row>
    <row r="610" spans="1:18" x14ac:dyDescent="0.25">
      <c r="A610" s="5">
        <v>636</v>
      </c>
      <c r="B610" s="6">
        <v>45739</v>
      </c>
      <c r="C610" s="8" t="s">
        <v>34</v>
      </c>
      <c r="D610" s="8" t="s">
        <v>35</v>
      </c>
      <c r="E610" s="8" t="s">
        <v>37</v>
      </c>
      <c r="F610" s="5">
        <v>6893</v>
      </c>
      <c r="G610" s="8" t="s">
        <v>26</v>
      </c>
      <c r="H610" s="8" t="s">
        <v>27</v>
      </c>
      <c r="I610" s="5">
        <v>4</v>
      </c>
      <c r="J610" s="10">
        <v>3897</v>
      </c>
      <c r="K610" s="10">
        <v>15588</v>
      </c>
      <c r="L610" s="10">
        <v>8821.93</v>
      </c>
      <c r="M610" s="10">
        <v>6766.07</v>
      </c>
      <c r="N610" s="8" t="s">
        <v>21</v>
      </c>
      <c r="O610" s="8" t="s">
        <v>33</v>
      </c>
      <c r="P610" s="8" t="s">
        <v>40</v>
      </c>
      <c r="Q610" s="3">
        <f t="shared" si="10"/>
        <v>0.43405632537849625</v>
      </c>
      <c r="R610" s="8" t="str" cm="1">
        <f t="array" ref="R610">_xlfn.IFS(Q610&gt;40%,"Alta",Q610&gt;20%,"Média",Q610&lt;20%,"Baixa")</f>
        <v>Alta</v>
      </c>
    </row>
    <row r="611" spans="1:18" x14ac:dyDescent="0.25">
      <c r="A611" s="5">
        <v>833</v>
      </c>
      <c r="B611" s="6">
        <v>45802</v>
      </c>
      <c r="C611" s="8" t="s">
        <v>24</v>
      </c>
      <c r="D611" s="8" t="s">
        <v>35</v>
      </c>
      <c r="E611" s="8" t="s">
        <v>37</v>
      </c>
      <c r="F611" s="5">
        <v>6788</v>
      </c>
      <c r="G611" s="8" t="s">
        <v>36</v>
      </c>
      <c r="H611" s="8" t="s">
        <v>38</v>
      </c>
      <c r="I611" s="5">
        <v>9</v>
      </c>
      <c r="J611" s="10">
        <v>1715</v>
      </c>
      <c r="K611" s="10">
        <v>15435</v>
      </c>
      <c r="L611" s="10">
        <v>10471.91</v>
      </c>
      <c r="M611" s="10">
        <v>4963.09</v>
      </c>
      <c r="N611" s="8" t="s">
        <v>28</v>
      </c>
      <c r="O611" s="8" t="s">
        <v>22</v>
      </c>
      <c r="P611" s="8" t="s">
        <v>40</v>
      </c>
      <c r="Q611" s="3">
        <f t="shared" si="10"/>
        <v>0.3215477810171688</v>
      </c>
      <c r="R611" s="8" t="str" cm="1">
        <f t="array" ref="R611">_xlfn.IFS(Q611&gt;40%,"Alta",Q611&gt;20%,"Média",Q611&lt;20%,"Baixa")</f>
        <v>Média</v>
      </c>
    </row>
    <row r="612" spans="1:18" x14ac:dyDescent="0.25">
      <c r="A612" s="5">
        <v>63</v>
      </c>
      <c r="B612" s="6">
        <v>45708</v>
      </c>
      <c r="C612" s="8" t="s">
        <v>16</v>
      </c>
      <c r="D612" s="8" t="s">
        <v>17</v>
      </c>
      <c r="E612" s="8" t="s">
        <v>18</v>
      </c>
      <c r="F612" s="5">
        <v>1392</v>
      </c>
      <c r="G612" s="8" t="s">
        <v>19</v>
      </c>
      <c r="H612" s="8" t="s">
        <v>20</v>
      </c>
      <c r="I612" s="5">
        <v>13</v>
      </c>
      <c r="J612" s="10">
        <v>1187</v>
      </c>
      <c r="K612" s="10">
        <v>15431</v>
      </c>
      <c r="L612" s="10">
        <v>8829.34</v>
      </c>
      <c r="M612" s="10">
        <v>6601.66</v>
      </c>
      <c r="N612" s="8" t="s">
        <v>21</v>
      </c>
      <c r="O612" s="8" t="s">
        <v>33</v>
      </c>
      <c r="P612" s="8" t="s">
        <v>40</v>
      </c>
      <c r="Q612" s="3">
        <f t="shared" si="10"/>
        <v>0.42781802864363944</v>
      </c>
      <c r="R612" s="8" t="str" cm="1">
        <f t="array" ref="R612">_xlfn.IFS(Q612&gt;40%,"Alta",Q612&gt;20%,"Média",Q612&lt;20%,"Baixa")</f>
        <v>Alta</v>
      </c>
    </row>
    <row r="613" spans="1:18" x14ac:dyDescent="0.25">
      <c r="A613" s="5">
        <v>232</v>
      </c>
      <c r="B613" s="6">
        <v>45738</v>
      </c>
      <c r="C613" s="8" t="s">
        <v>34</v>
      </c>
      <c r="D613" s="8" t="s">
        <v>35</v>
      </c>
      <c r="E613" s="8" t="s">
        <v>37</v>
      </c>
      <c r="F613" s="5">
        <v>6538</v>
      </c>
      <c r="G613" s="8" t="s">
        <v>19</v>
      </c>
      <c r="H613" s="8" t="s">
        <v>27</v>
      </c>
      <c r="I613" s="5">
        <v>8</v>
      </c>
      <c r="J613" s="10">
        <v>1927</v>
      </c>
      <c r="K613" s="10">
        <v>15416</v>
      </c>
      <c r="L613" s="10">
        <v>10057.89</v>
      </c>
      <c r="M613" s="10">
        <v>5358.11</v>
      </c>
      <c r="N613" s="8" t="s">
        <v>21</v>
      </c>
      <c r="O613" s="8" t="s">
        <v>22</v>
      </c>
      <c r="P613" s="8" t="s">
        <v>46</v>
      </c>
      <c r="Q613" s="3">
        <f t="shared" si="10"/>
        <v>0.34756811105345092</v>
      </c>
      <c r="R613" s="8" t="str" cm="1">
        <f t="array" ref="R613">_xlfn.IFS(Q613&gt;40%,"Alta",Q613&gt;20%,"Média",Q613&lt;20%,"Baixa")</f>
        <v>Média</v>
      </c>
    </row>
    <row r="614" spans="1:18" x14ac:dyDescent="0.25">
      <c r="A614" s="5">
        <v>450</v>
      </c>
      <c r="B614" s="6">
        <v>45714</v>
      </c>
      <c r="C614" s="8" t="s">
        <v>34</v>
      </c>
      <c r="D614" s="8" t="s">
        <v>45</v>
      </c>
      <c r="E614" s="8" t="s">
        <v>37</v>
      </c>
      <c r="F614" s="5">
        <v>6430</v>
      </c>
      <c r="G614" s="8" t="s">
        <v>36</v>
      </c>
      <c r="H614" s="8" t="s">
        <v>20</v>
      </c>
      <c r="I614" s="5">
        <v>13</v>
      </c>
      <c r="J614" s="10">
        <v>1184</v>
      </c>
      <c r="K614" s="10">
        <v>15392</v>
      </c>
      <c r="L614" s="10">
        <v>11188.61</v>
      </c>
      <c r="M614" s="10">
        <v>4203.3900000000003</v>
      </c>
      <c r="N614" s="8" t="s">
        <v>21</v>
      </c>
      <c r="O614" s="8" t="s">
        <v>33</v>
      </c>
      <c r="P614" s="8" t="s">
        <v>46</v>
      </c>
      <c r="Q614" s="3">
        <f t="shared" si="10"/>
        <v>0.27308926715176718</v>
      </c>
      <c r="R614" s="8" t="str" cm="1">
        <f t="array" ref="R614">_xlfn.IFS(Q614&gt;40%,"Alta",Q614&gt;20%,"Média",Q614&lt;20%,"Baixa")</f>
        <v>Média</v>
      </c>
    </row>
    <row r="615" spans="1:18" x14ac:dyDescent="0.25">
      <c r="A615" s="5">
        <v>989</v>
      </c>
      <c r="B615" s="6">
        <v>45685</v>
      </c>
      <c r="C615" s="8" t="s">
        <v>16</v>
      </c>
      <c r="D615" s="8" t="s">
        <v>35</v>
      </c>
      <c r="E615" s="8" t="s">
        <v>37</v>
      </c>
      <c r="F615" s="5">
        <v>4809</v>
      </c>
      <c r="G615" s="8" t="s">
        <v>26</v>
      </c>
      <c r="H615" s="8" t="s">
        <v>38</v>
      </c>
      <c r="I615" s="5">
        <v>7</v>
      </c>
      <c r="J615" s="10">
        <v>2188</v>
      </c>
      <c r="K615" s="10">
        <v>15316</v>
      </c>
      <c r="L615" s="10">
        <v>11990.7</v>
      </c>
      <c r="M615" s="10">
        <v>3325.3</v>
      </c>
      <c r="N615" s="8" t="s">
        <v>21</v>
      </c>
      <c r="O615" s="8" t="s">
        <v>22</v>
      </c>
      <c r="P615" s="8" t="s">
        <v>29</v>
      </c>
      <c r="Q615" s="3">
        <f t="shared" si="10"/>
        <v>0.2171128231914338</v>
      </c>
      <c r="R615" s="8" t="str" cm="1">
        <f t="array" ref="R615">_xlfn.IFS(Q615&gt;40%,"Alta",Q615&gt;20%,"Média",Q615&lt;20%,"Baixa")</f>
        <v>Média</v>
      </c>
    </row>
    <row r="616" spans="1:18" x14ac:dyDescent="0.25">
      <c r="A616" s="5">
        <v>142</v>
      </c>
      <c r="B616" s="6">
        <v>45757</v>
      </c>
      <c r="C616" s="8" t="s">
        <v>16</v>
      </c>
      <c r="D616" s="8" t="s">
        <v>45</v>
      </c>
      <c r="E616" s="8" t="s">
        <v>37</v>
      </c>
      <c r="F616" s="5">
        <v>7640</v>
      </c>
      <c r="G616" s="8" t="s">
        <v>36</v>
      </c>
      <c r="H616" s="8" t="s">
        <v>20</v>
      </c>
      <c r="I616" s="5">
        <v>17</v>
      </c>
      <c r="J616" s="10">
        <v>899</v>
      </c>
      <c r="K616" s="10">
        <v>15283</v>
      </c>
      <c r="L616" s="10">
        <v>11240.99</v>
      </c>
      <c r="M616" s="10">
        <v>4042.01</v>
      </c>
      <c r="N616" s="8" t="s">
        <v>28</v>
      </c>
      <c r="O616" s="8" t="s">
        <v>22</v>
      </c>
      <c r="P616" s="8" t="s">
        <v>23</v>
      </c>
      <c r="Q616" s="3">
        <f t="shared" si="10"/>
        <v>0.26447752404632602</v>
      </c>
      <c r="R616" s="8" t="str" cm="1">
        <f t="array" ref="R616">_xlfn.IFS(Q616&gt;40%,"Alta",Q616&gt;20%,"Média",Q616&lt;20%,"Baixa")</f>
        <v>Média</v>
      </c>
    </row>
    <row r="617" spans="1:18" x14ac:dyDescent="0.25">
      <c r="A617" s="5">
        <v>507</v>
      </c>
      <c r="B617" s="6">
        <v>45715</v>
      </c>
      <c r="C617" s="8" t="s">
        <v>24</v>
      </c>
      <c r="D617" s="8" t="s">
        <v>35</v>
      </c>
      <c r="E617" s="8" t="s">
        <v>18</v>
      </c>
      <c r="F617" s="5">
        <v>2796</v>
      </c>
      <c r="G617" s="8" t="s">
        <v>26</v>
      </c>
      <c r="H617" s="8" t="s">
        <v>27</v>
      </c>
      <c r="I617" s="5">
        <v>4</v>
      </c>
      <c r="J617" s="10">
        <v>3776</v>
      </c>
      <c r="K617" s="10">
        <v>15104</v>
      </c>
      <c r="L617" s="10">
        <v>9822.7800000000007</v>
      </c>
      <c r="M617" s="10">
        <v>5281.22</v>
      </c>
      <c r="N617" s="8" t="s">
        <v>32</v>
      </c>
      <c r="O617" s="8" t="s">
        <v>22</v>
      </c>
      <c r="P617" s="8" t="s">
        <v>23</v>
      </c>
      <c r="Q617" s="3">
        <f t="shared" si="10"/>
        <v>0.34965704449152546</v>
      </c>
      <c r="R617" s="8" t="str" cm="1">
        <f t="array" ref="R617">_xlfn.IFS(Q617&gt;40%,"Alta",Q617&gt;20%,"Média",Q617&lt;20%,"Baixa")</f>
        <v>Média</v>
      </c>
    </row>
    <row r="618" spans="1:18" x14ac:dyDescent="0.25">
      <c r="A618" s="5">
        <v>901</v>
      </c>
      <c r="B618" s="6">
        <v>45805</v>
      </c>
      <c r="C618" s="8" t="s">
        <v>34</v>
      </c>
      <c r="D618" s="8" t="s">
        <v>35</v>
      </c>
      <c r="E618" s="8" t="s">
        <v>41</v>
      </c>
      <c r="F618" s="5">
        <v>1727</v>
      </c>
      <c r="G618" s="8" t="s">
        <v>19</v>
      </c>
      <c r="H618" s="8" t="s">
        <v>38</v>
      </c>
      <c r="I618" s="5">
        <v>5</v>
      </c>
      <c r="J618" s="10">
        <v>3013</v>
      </c>
      <c r="K618" s="10">
        <v>15065</v>
      </c>
      <c r="L618" s="10">
        <v>7824.87</v>
      </c>
      <c r="M618" s="10">
        <v>7240.13</v>
      </c>
      <c r="N618" s="8" t="s">
        <v>28</v>
      </c>
      <c r="O618" s="8" t="s">
        <v>39</v>
      </c>
      <c r="P618" s="8" t="s">
        <v>23</v>
      </c>
      <c r="Q618" s="3">
        <f t="shared" si="10"/>
        <v>0.48059276468635914</v>
      </c>
      <c r="R618" s="8" t="str" cm="1">
        <f t="array" ref="R618">_xlfn.IFS(Q618&gt;40%,"Alta",Q618&gt;20%,"Média",Q618&lt;20%,"Baixa")</f>
        <v>Alta</v>
      </c>
    </row>
    <row r="619" spans="1:18" x14ac:dyDescent="0.25">
      <c r="A619" s="5">
        <v>349</v>
      </c>
      <c r="B619" s="6">
        <v>45770</v>
      </c>
      <c r="C619" s="8" t="s">
        <v>47</v>
      </c>
      <c r="D619" s="8" t="s">
        <v>45</v>
      </c>
      <c r="E619" s="8" t="s">
        <v>18</v>
      </c>
      <c r="F619" s="5">
        <v>6017</v>
      </c>
      <c r="G619" s="8" t="s">
        <v>19</v>
      </c>
      <c r="H619" s="8" t="s">
        <v>31</v>
      </c>
      <c r="I619" s="5">
        <v>15</v>
      </c>
      <c r="J619" s="10">
        <v>999</v>
      </c>
      <c r="K619" s="10">
        <v>14985</v>
      </c>
      <c r="L619" s="10">
        <v>7029.87</v>
      </c>
      <c r="M619" s="10">
        <v>7955.13</v>
      </c>
      <c r="N619" s="8" t="s">
        <v>21</v>
      </c>
      <c r="O619" s="8" t="s">
        <v>22</v>
      </c>
      <c r="P619" s="8" t="s">
        <v>46</v>
      </c>
      <c r="Q619" s="3">
        <f t="shared" si="10"/>
        <v>0.53087287287287288</v>
      </c>
      <c r="R619" s="8" t="str" cm="1">
        <f t="array" ref="R619">_xlfn.IFS(Q619&gt;40%,"Alta",Q619&gt;20%,"Média",Q619&lt;20%,"Baixa")</f>
        <v>Alta</v>
      </c>
    </row>
    <row r="620" spans="1:18" x14ac:dyDescent="0.25">
      <c r="A620" s="5">
        <v>549</v>
      </c>
      <c r="B620" s="6">
        <v>45739</v>
      </c>
      <c r="C620" s="8" t="s">
        <v>24</v>
      </c>
      <c r="D620" s="8" t="s">
        <v>17</v>
      </c>
      <c r="E620" s="8" t="s">
        <v>37</v>
      </c>
      <c r="F620" s="5">
        <v>1542</v>
      </c>
      <c r="G620" s="8" t="s">
        <v>36</v>
      </c>
      <c r="H620" s="8" t="s">
        <v>27</v>
      </c>
      <c r="I620" s="5">
        <v>4</v>
      </c>
      <c r="J620" s="10">
        <v>3745</v>
      </c>
      <c r="K620" s="10">
        <v>14980</v>
      </c>
      <c r="L620" s="10">
        <v>11141.28</v>
      </c>
      <c r="M620" s="10">
        <v>3838.72</v>
      </c>
      <c r="N620" s="8" t="s">
        <v>21</v>
      </c>
      <c r="O620" s="8" t="s">
        <v>39</v>
      </c>
      <c r="P620" s="8" t="s">
        <v>40</v>
      </c>
      <c r="Q620" s="3">
        <f t="shared" si="10"/>
        <v>0.25625634178905204</v>
      </c>
      <c r="R620" s="8" t="str" cm="1">
        <f t="array" ref="R620">_xlfn.IFS(Q620&gt;40%,"Alta",Q620&gt;20%,"Média",Q620&lt;20%,"Baixa")</f>
        <v>Média</v>
      </c>
    </row>
    <row r="621" spans="1:18" x14ac:dyDescent="0.25">
      <c r="A621" s="5">
        <v>616</v>
      </c>
      <c r="B621" s="6">
        <v>45742</v>
      </c>
      <c r="C621" s="8" t="s">
        <v>24</v>
      </c>
      <c r="D621" s="8" t="s">
        <v>30</v>
      </c>
      <c r="E621" s="8" t="s">
        <v>41</v>
      </c>
      <c r="F621" s="5">
        <v>5022</v>
      </c>
      <c r="G621" s="8" t="s">
        <v>19</v>
      </c>
      <c r="H621" s="8" t="s">
        <v>43</v>
      </c>
      <c r="I621" s="5">
        <v>13</v>
      </c>
      <c r="J621" s="10">
        <v>1148</v>
      </c>
      <c r="K621" s="10">
        <v>14924</v>
      </c>
      <c r="L621" s="10">
        <v>9440.65</v>
      </c>
      <c r="M621" s="10">
        <v>5483.35</v>
      </c>
      <c r="N621" s="8" t="s">
        <v>32</v>
      </c>
      <c r="O621" s="8" t="s">
        <v>33</v>
      </c>
      <c r="P621" s="8" t="s">
        <v>23</v>
      </c>
      <c r="Q621" s="3">
        <f t="shared" si="10"/>
        <v>0.3674182524792281</v>
      </c>
      <c r="R621" s="8" t="str" cm="1">
        <f t="array" ref="R621">_xlfn.IFS(Q621&gt;40%,"Alta",Q621&gt;20%,"Média",Q621&lt;20%,"Baixa")</f>
        <v>Média</v>
      </c>
    </row>
    <row r="622" spans="1:18" x14ac:dyDescent="0.25">
      <c r="A622" s="5">
        <v>578</v>
      </c>
      <c r="B622" s="6">
        <v>45768</v>
      </c>
      <c r="C622" s="8" t="s">
        <v>47</v>
      </c>
      <c r="D622" s="8" t="s">
        <v>45</v>
      </c>
      <c r="E622" s="8" t="s">
        <v>25</v>
      </c>
      <c r="F622" s="5">
        <v>4150</v>
      </c>
      <c r="G622" s="8" t="s">
        <v>26</v>
      </c>
      <c r="H622" s="8" t="s">
        <v>20</v>
      </c>
      <c r="I622" s="5">
        <v>11</v>
      </c>
      <c r="J622" s="10">
        <v>1356</v>
      </c>
      <c r="K622" s="10">
        <v>14916</v>
      </c>
      <c r="L622" s="10">
        <v>7429.01</v>
      </c>
      <c r="M622" s="10">
        <v>7486.99</v>
      </c>
      <c r="N622" s="8" t="s">
        <v>32</v>
      </c>
      <c r="O622" s="8" t="s">
        <v>39</v>
      </c>
      <c r="P622" s="8" t="s">
        <v>40</v>
      </c>
      <c r="Q622" s="3">
        <f t="shared" si="10"/>
        <v>0.50194355054974527</v>
      </c>
      <c r="R622" s="8" t="str" cm="1">
        <f t="array" ref="R622">_xlfn.IFS(Q622&gt;40%,"Alta",Q622&gt;20%,"Média",Q622&lt;20%,"Baixa")</f>
        <v>Alta</v>
      </c>
    </row>
    <row r="623" spans="1:18" x14ac:dyDescent="0.25">
      <c r="A623" s="5">
        <v>669</v>
      </c>
      <c r="B623" s="6">
        <v>45756</v>
      </c>
      <c r="C623" s="8" t="s">
        <v>16</v>
      </c>
      <c r="D623" s="8" t="s">
        <v>42</v>
      </c>
      <c r="E623" s="8" t="s">
        <v>37</v>
      </c>
      <c r="F623" s="5">
        <v>7280</v>
      </c>
      <c r="G623" s="8" t="s">
        <v>26</v>
      </c>
      <c r="H623" s="8" t="s">
        <v>43</v>
      </c>
      <c r="I623" s="5">
        <v>14</v>
      </c>
      <c r="J623" s="10">
        <v>1064</v>
      </c>
      <c r="K623" s="10">
        <v>14896</v>
      </c>
      <c r="L623" s="10">
        <v>9772.5499999999993</v>
      </c>
      <c r="M623" s="10">
        <v>5123.45</v>
      </c>
      <c r="N623" s="8" t="s">
        <v>32</v>
      </c>
      <c r="O623" s="8" t="s">
        <v>33</v>
      </c>
      <c r="P623" s="8" t="s">
        <v>44</v>
      </c>
      <c r="Q623" s="3">
        <f t="shared" si="10"/>
        <v>0.34394803974221266</v>
      </c>
      <c r="R623" s="8" t="str" cm="1">
        <f t="array" ref="R623">_xlfn.IFS(Q623&gt;40%,"Alta",Q623&gt;20%,"Média",Q623&lt;20%,"Baixa")</f>
        <v>Média</v>
      </c>
    </row>
    <row r="624" spans="1:18" x14ac:dyDescent="0.25">
      <c r="A624" s="5">
        <v>916</v>
      </c>
      <c r="B624" s="6">
        <v>45699</v>
      </c>
      <c r="C624" s="8" t="s">
        <v>34</v>
      </c>
      <c r="D624" s="8" t="s">
        <v>30</v>
      </c>
      <c r="E624" s="8" t="s">
        <v>18</v>
      </c>
      <c r="F624" s="5">
        <v>4999</v>
      </c>
      <c r="G624" s="8" t="s">
        <v>19</v>
      </c>
      <c r="H624" s="8" t="s">
        <v>43</v>
      </c>
      <c r="I624" s="5">
        <v>20</v>
      </c>
      <c r="J624" s="10">
        <v>742</v>
      </c>
      <c r="K624" s="10">
        <v>14840</v>
      </c>
      <c r="L624" s="10">
        <v>6937.65</v>
      </c>
      <c r="M624" s="10">
        <v>7902.35</v>
      </c>
      <c r="N624" s="8" t="s">
        <v>32</v>
      </c>
      <c r="O624" s="8" t="s">
        <v>33</v>
      </c>
      <c r="P624" s="8" t="s">
        <v>23</v>
      </c>
      <c r="Q624" s="3">
        <f t="shared" si="10"/>
        <v>0.53250336927223718</v>
      </c>
      <c r="R624" s="8" t="str" cm="1">
        <f t="array" ref="R624">_xlfn.IFS(Q624&gt;40%,"Alta",Q624&gt;20%,"Média",Q624&lt;20%,"Baixa")</f>
        <v>Alta</v>
      </c>
    </row>
    <row r="625" spans="1:18" x14ac:dyDescent="0.25">
      <c r="A625" s="5">
        <v>528</v>
      </c>
      <c r="B625" s="6">
        <v>45686</v>
      </c>
      <c r="C625" s="8" t="s">
        <v>24</v>
      </c>
      <c r="D625" s="8" t="s">
        <v>30</v>
      </c>
      <c r="E625" s="8" t="s">
        <v>25</v>
      </c>
      <c r="F625" s="5">
        <v>1924</v>
      </c>
      <c r="G625" s="8" t="s">
        <v>36</v>
      </c>
      <c r="H625" s="8" t="s">
        <v>43</v>
      </c>
      <c r="I625" s="5">
        <v>15</v>
      </c>
      <c r="J625" s="10">
        <v>983</v>
      </c>
      <c r="K625" s="10">
        <v>14745</v>
      </c>
      <c r="L625" s="10">
        <v>6482.83</v>
      </c>
      <c r="M625" s="10">
        <v>8262.17</v>
      </c>
      <c r="N625" s="8" t="s">
        <v>32</v>
      </c>
      <c r="O625" s="8" t="s">
        <v>33</v>
      </c>
      <c r="P625" s="8" t="s">
        <v>40</v>
      </c>
      <c r="Q625" s="3">
        <f t="shared" si="10"/>
        <v>0.56033706341132583</v>
      </c>
      <c r="R625" s="8" t="str" cm="1">
        <f t="array" ref="R625">_xlfn.IFS(Q625&gt;40%,"Alta",Q625&gt;20%,"Média",Q625&lt;20%,"Baixa")</f>
        <v>Alta</v>
      </c>
    </row>
    <row r="626" spans="1:18" x14ac:dyDescent="0.25">
      <c r="A626" s="5">
        <v>627</v>
      </c>
      <c r="B626" s="6">
        <v>45738</v>
      </c>
      <c r="C626" s="8" t="s">
        <v>47</v>
      </c>
      <c r="D626" s="8" t="s">
        <v>17</v>
      </c>
      <c r="E626" s="8" t="s">
        <v>25</v>
      </c>
      <c r="F626" s="5">
        <v>2938</v>
      </c>
      <c r="G626" s="8" t="s">
        <v>26</v>
      </c>
      <c r="H626" s="8" t="s">
        <v>20</v>
      </c>
      <c r="I626" s="5">
        <v>12</v>
      </c>
      <c r="J626" s="10">
        <v>1228</v>
      </c>
      <c r="K626" s="10">
        <v>14736</v>
      </c>
      <c r="L626" s="10">
        <v>10637.05</v>
      </c>
      <c r="M626" s="10">
        <v>4098.95</v>
      </c>
      <c r="N626" s="8" t="s">
        <v>32</v>
      </c>
      <c r="O626" s="8" t="s">
        <v>22</v>
      </c>
      <c r="P626" s="8" t="s">
        <v>23</v>
      </c>
      <c r="Q626" s="3">
        <f t="shared" si="10"/>
        <v>0.27815893051031487</v>
      </c>
      <c r="R626" s="8" t="str" cm="1">
        <f t="array" ref="R626">_xlfn.IFS(Q626&gt;40%,"Alta",Q626&gt;20%,"Média",Q626&lt;20%,"Baixa")</f>
        <v>Média</v>
      </c>
    </row>
    <row r="627" spans="1:18" x14ac:dyDescent="0.25">
      <c r="A627" s="5">
        <v>979</v>
      </c>
      <c r="B627" s="6">
        <v>45761</v>
      </c>
      <c r="C627" s="8" t="s">
        <v>34</v>
      </c>
      <c r="D627" s="8" t="s">
        <v>42</v>
      </c>
      <c r="E627" s="8" t="s">
        <v>37</v>
      </c>
      <c r="F627" s="5">
        <v>8206</v>
      </c>
      <c r="G627" s="8" t="s">
        <v>26</v>
      </c>
      <c r="H627" s="8" t="s">
        <v>20</v>
      </c>
      <c r="I627" s="5">
        <v>10</v>
      </c>
      <c r="J627" s="10">
        <v>1465</v>
      </c>
      <c r="K627" s="10">
        <v>14650</v>
      </c>
      <c r="L627" s="10">
        <v>7332.49</v>
      </c>
      <c r="M627" s="10">
        <v>7317.51</v>
      </c>
      <c r="N627" s="8" t="s">
        <v>32</v>
      </c>
      <c r="O627" s="8" t="s">
        <v>33</v>
      </c>
      <c r="P627" s="8" t="s">
        <v>40</v>
      </c>
      <c r="Q627" s="3">
        <f t="shared" si="10"/>
        <v>0.49948873720136522</v>
      </c>
      <c r="R627" s="8" t="str" cm="1">
        <f t="array" ref="R627">_xlfn.IFS(Q627&gt;40%,"Alta",Q627&gt;20%,"Média",Q627&lt;20%,"Baixa")</f>
        <v>Alta</v>
      </c>
    </row>
    <row r="628" spans="1:18" x14ac:dyDescent="0.25">
      <c r="A628" s="5">
        <v>638</v>
      </c>
      <c r="B628" s="6">
        <v>45811</v>
      </c>
      <c r="C628" s="8" t="s">
        <v>47</v>
      </c>
      <c r="D628" s="8" t="s">
        <v>45</v>
      </c>
      <c r="E628" s="8" t="s">
        <v>25</v>
      </c>
      <c r="F628" s="5">
        <v>9327</v>
      </c>
      <c r="G628" s="8" t="s">
        <v>19</v>
      </c>
      <c r="H628" s="8" t="s">
        <v>27</v>
      </c>
      <c r="I628" s="5">
        <v>3</v>
      </c>
      <c r="J628" s="10">
        <v>4875</v>
      </c>
      <c r="K628" s="10">
        <v>14625</v>
      </c>
      <c r="L628" s="10">
        <v>9489.9599999999991</v>
      </c>
      <c r="M628" s="10">
        <v>5135.04</v>
      </c>
      <c r="N628" s="8" t="s">
        <v>21</v>
      </c>
      <c r="O628" s="8" t="s">
        <v>39</v>
      </c>
      <c r="P628" s="8" t="s">
        <v>23</v>
      </c>
      <c r="Q628" s="3">
        <f t="shared" si="10"/>
        <v>0.35111384615384617</v>
      </c>
      <c r="R628" s="8" t="str" cm="1">
        <f t="array" ref="R628">_xlfn.IFS(Q628&gt;40%,"Alta",Q628&gt;20%,"Média",Q628&lt;20%,"Baixa")</f>
        <v>Média</v>
      </c>
    </row>
    <row r="629" spans="1:18" x14ac:dyDescent="0.25">
      <c r="A629" s="5">
        <v>292</v>
      </c>
      <c r="B629" s="6">
        <v>45837</v>
      </c>
      <c r="C629" s="8" t="s">
        <v>16</v>
      </c>
      <c r="D629" s="8" t="s">
        <v>45</v>
      </c>
      <c r="E629" s="8" t="s">
        <v>37</v>
      </c>
      <c r="F629" s="5">
        <v>9014</v>
      </c>
      <c r="G629" s="8" t="s">
        <v>36</v>
      </c>
      <c r="H629" s="8" t="s">
        <v>43</v>
      </c>
      <c r="I629" s="5">
        <v>5</v>
      </c>
      <c r="J629" s="10">
        <v>2918</v>
      </c>
      <c r="K629" s="10">
        <v>14590</v>
      </c>
      <c r="L629" s="10">
        <v>8680.41</v>
      </c>
      <c r="M629" s="10">
        <v>5909.59</v>
      </c>
      <c r="N629" s="8" t="s">
        <v>21</v>
      </c>
      <c r="O629" s="8" t="s">
        <v>33</v>
      </c>
      <c r="P629" s="8" t="s">
        <v>40</v>
      </c>
      <c r="Q629" s="3">
        <f t="shared" si="10"/>
        <v>0.40504386566141193</v>
      </c>
      <c r="R629" s="8" t="str" cm="1">
        <f t="array" ref="R629">_xlfn.IFS(Q629&gt;40%,"Alta",Q629&gt;20%,"Média",Q629&lt;20%,"Baixa")</f>
        <v>Alta</v>
      </c>
    </row>
    <row r="630" spans="1:18" x14ac:dyDescent="0.25">
      <c r="A630" s="5">
        <v>617</v>
      </c>
      <c r="B630" s="6">
        <v>45777</v>
      </c>
      <c r="C630" s="8" t="s">
        <v>16</v>
      </c>
      <c r="D630" s="8" t="s">
        <v>35</v>
      </c>
      <c r="E630" s="8" t="s">
        <v>41</v>
      </c>
      <c r="F630" s="5">
        <v>1921</v>
      </c>
      <c r="G630" s="8" t="s">
        <v>26</v>
      </c>
      <c r="H630" s="8" t="s">
        <v>20</v>
      </c>
      <c r="I630" s="5">
        <v>6</v>
      </c>
      <c r="J630" s="10">
        <v>2428</v>
      </c>
      <c r="K630" s="10">
        <v>14568</v>
      </c>
      <c r="L630" s="10">
        <v>10960.48</v>
      </c>
      <c r="M630" s="10">
        <v>3607.52</v>
      </c>
      <c r="N630" s="8" t="s">
        <v>32</v>
      </c>
      <c r="O630" s="8" t="s">
        <v>39</v>
      </c>
      <c r="P630" s="8" t="s">
        <v>23</v>
      </c>
      <c r="Q630" s="3">
        <f t="shared" si="10"/>
        <v>0.24763316858868753</v>
      </c>
      <c r="R630" s="8" t="str" cm="1">
        <f t="array" ref="R630">_xlfn.IFS(Q630&gt;40%,"Alta",Q630&gt;20%,"Média",Q630&lt;20%,"Baixa")</f>
        <v>Média</v>
      </c>
    </row>
    <row r="631" spans="1:18" x14ac:dyDescent="0.25">
      <c r="A631" s="5">
        <v>930</v>
      </c>
      <c r="B631" s="6">
        <v>45671</v>
      </c>
      <c r="C631" s="8" t="s">
        <v>16</v>
      </c>
      <c r="D631" s="8" t="s">
        <v>30</v>
      </c>
      <c r="E631" s="8" t="s">
        <v>18</v>
      </c>
      <c r="F631" s="5">
        <v>9456</v>
      </c>
      <c r="G631" s="8" t="s">
        <v>26</v>
      </c>
      <c r="H631" s="8" t="s">
        <v>31</v>
      </c>
      <c r="I631" s="5">
        <v>13</v>
      </c>
      <c r="J631" s="10">
        <v>1119</v>
      </c>
      <c r="K631" s="10">
        <v>14547</v>
      </c>
      <c r="L631" s="10">
        <v>6422.22</v>
      </c>
      <c r="M631" s="10">
        <v>8124.78</v>
      </c>
      <c r="N631" s="8" t="s">
        <v>21</v>
      </c>
      <c r="O631" s="8" t="s">
        <v>33</v>
      </c>
      <c r="P631" s="8" t="s">
        <v>29</v>
      </c>
      <c r="Q631" s="3">
        <f t="shared" si="10"/>
        <v>0.55851928232625281</v>
      </c>
      <c r="R631" s="8" t="str" cm="1">
        <f t="array" ref="R631">_xlfn.IFS(Q631&gt;40%,"Alta",Q631&gt;20%,"Média",Q631&lt;20%,"Baixa")</f>
        <v>Alta</v>
      </c>
    </row>
    <row r="632" spans="1:18" x14ac:dyDescent="0.25">
      <c r="A632" s="5">
        <v>138</v>
      </c>
      <c r="B632" s="6">
        <v>45806</v>
      </c>
      <c r="C632" s="8" t="s">
        <v>34</v>
      </c>
      <c r="D632" s="8" t="s">
        <v>17</v>
      </c>
      <c r="E632" s="8" t="s">
        <v>18</v>
      </c>
      <c r="F632" s="5">
        <v>2520</v>
      </c>
      <c r="G632" s="8" t="s">
        <v>19</v>
      </c>
      <c r="H632" s="8" t="s">
        <v>43</v>
      </c>
      <c r="I632" s="5">
        <v>18</v>
      </c>
      <c r="J632" s="10">
        <v>808</v>
      </c>
      <c r="K632" s="10">
        <v>14544</v>
      </c>
      <c r="L632" s="10">
        <v>6181.94</v>
      </c>
      <c r="M632" s="10">
        <v>8362.06</v>
      </c>
      <c r="N632" s="8" t="s">
        <v>21</v>
      </c>
      <c r="O632" s="8" t="s">
        <v>39</v>
      </c>
      <c r="P632" s="8" t="s">
        <v>44</v>
      </c>
      <c r="Q632" s="3">
        <f t="shared" si="10"/>
        <v>0.57494911991199116</v>
      </c>
      <c r="R632" s="8" t="str" cm="1">
        <f t="array" ref="R632">_xlfn.IFS(Q632&gt;40%,"Alta",Q632&gt;20%,"Média",Q632&lt;20%,"Baixa")</f>
        <v>Alta</v>
      </c>
    </row>
    <row r="633" spans="1:18" x14ac:dyDescent="0.25">
      <c r="A633" s="5">
        <v>7</v>
      </c>
      <c r="B633" s="6">
        <v>45752</v>
      </c>
      <c r="C633" s="8" t="s">
        <v>24</v>
      </c>
      <c r="D633" s="8" t="s">
        <v>42</v>
      </c>
      <c r="E633" s="8" t="s">
        <v>41</v>
      </c>
      <c r="F633" s="5">
        <v>5494</v>
      </c>
      <c r="G633" s="8" t="s">
        <v>36</v>
      </c>
      <c r="H633" s="8" t="s">
        <v>38</v>
      </c>
      <c r="I633" s="5">
        <v>11</v>
      </c>
      <c r="J633" s="10">
        <v>1320</v>
      </c>
      <c r="K633" s="10">
        <v>14520</v>
      </c>
      <c r="L633" s="10">
        <v>10741.47</v>
      </c>
      <c r="M633" s="10">
        <v>3778.53</v>
      </c>
      <c r="N633" s="8" t="s">
        <v>21</v>
      </c>
      <c r="O633" s="8" t="s">
        <v>39</v>
      </c>
      <c r="P633" s="8" t="s">
        <v>40</v>
      </c>
      <c r="Q633" s="3">
        <f t="shared" si="10"/>
        <v>0.26022933884297522</v>
      </c>
      <c r="R633" s="8" t="str" cm="1">
        <f t="array" ref="R633">_xlfn.IFS(Q633&gt;40%,"Alta",Q633&gt;20%,"Média",Q633&lt;20%,"Baixa")</f>
        <v>Média</v>
      </c>
    </row>
    <row r="634" spans="1:18" x14ac:dyDescent="0.25">
      <c r="A634" s="5">
        <v>935</v>
      </c>
      <c r="B634" s="6">
        <v>45824</v>
      </c>
      <c r="C634" s="8" t="s">
        <v>47</v>
      </c>
      <c r="D634" s="8" t="s">
        <v>17</v>
      </c>
      <c r="E634" s="8" t="s">
        <v>41</v>
      </c>
      <c r="F634" s="5">
        <v>1858</v>
      </c>
      <c r="G634" s="8" t="s">
        <v>36</v>
      </c>
      <c r="H634" s="8" t="s">
        <v>43</v>
      </c>
      <c r="I634" s="5">
        <v>7</v>
      </c>
      <c r="J634" s="10">
        <v>2069</v>
      </c>
      <c r="K634" s="10">
        <v>14483</v>
      </c>
      <c r="L634" s="10">
        <v>6432.72</v>
      </c>
      <c r="M634" s="10">
        <v>8050.28</v>
      </c>
      <c r="N634" s="8" t="s">
        <v>32</v>
      </c>
      <c r="O634" s="8" t="s">
        <v>39</v>
      </c>
      <c r="P634" s="8" t="s">
        <v>23</v>
      </c>
      <c r="Q634" s="3">
        <f t="shared" si="10"/>
        <v>0.55584340260995646</v>
      </c>
      <c r="R634" s="8" t="str" cm="1">
        <f t="array" ref="R634">_xlfn.IFS(Q634&gt;40%,"Alta",Q634&gt;20%,"Média",Q634&lt;20%,"Baixa")</f>
        <v>Alta</v>
      </c>
    </row>
    <row r="635" spans="1:18" x14ac:dyDescent="0.25">
      <c r="A635" s="5">
        <v>285</v>
      </c>
      <c r="B635" s="6">
        <v>45734</v>
      </c>
      <c r="C635" s="8" t="s">
        <v>34</v>
      </c>
      <c r="D635" s="8" t="s">
        <v>35</v>
      </c>
      <c r="E635" s="8" t="s">
        <v>18</v>
      </c>
      <c r="F635" s="5">
        <v>7794</v>
      </c>
      <c r="G635" s="8" t="s">
        <v>19</v>
      </c>
      <c r="H635" s="8" t="s">
        <v>31</v>
      </c>
      <c r="I635" s="5">
        <v>14</v>
      </c>
      <c r="J635" s="10">
        <v>1030</v>
      </c>
      <c r="K635" s="10">
        <v>14420</v>
      </c>
      <c r="L635" s="10">
        <v>6964.53</v>
      </c>
      <c r="M635" s="10">
        <v>7455.47</v>
      </c>
      <c r="N635" s="8" t="s">
        <v>32</v>
      </c>
      <c r="O635" s="8" t="s">
        <v>33</v>
      </c>
      <c r="P635" s="8" t="s">
        <v>23</v>
      </c>
      <c r="Q635" s="3">
        <f t="shared" si="10"/>
        <v>0.51702288488210824</v>
      </c>
      <c r="R635" s="8" t="str" cm="1">
        <f t="array" ref="R635">_xlfn.IFS(Q635&gt;40%,"Alta",Q635&gt;20%,"Média",Q635&lt;20%,"Baixa")</f>
        <v>Alta</v>
      </c>
    </row>
    <row r="636" spans="1:18" x14ac:dyDescent="0.25">
      <c r="A636" s="5">
        <v>946</v>
      </c>
      <c r="B636" s="6">
        <v>45811</v>
      </c>
      <c r="C636" s="8" t="s">
        <v>34</v>
      </c>
      <c r="D636" s="8" t="s">
        <v>35</v>
      </c>
      <c r="E636" s="8" t="s">
        <v>37</v>
      </c>
      <c r="F636" s="5">
        <v>4192</v>
      </c>
      <c r="G636" s="8" t="s">
        <v>36</v>
      </c>
      <c r="H636" s="8" t="s">
        <v>27</v>
      </c>
      <c r="I636" s="5">
        <v>9</v>
      </c>
      <c r="J636" s="10">
        <v>1592</v>
      </c>
      <c r="K636" s="10">
        <v>14328</v>
      </c>
      <c r="L636" s="10">
        <v>7188.91</v>
      </c>
      <c r="M636" s="10">
        <v>7139.09</v>
      </c>
      <c r="N636" s="8" t="s">
        <v>32</v>
      </c>
      <c r="O636" s="8" t="s">
        <v>33</v>
      </c>
      <c r="P636" s="8" t="s">
        <v>29</v>
      </c>
      <c r="Q636" s="3">
        <f t="shared" si="10"/>
        <v>0.49826144611948631</v>
      </c>
      <c r="R636" s="8" t="str" cm="1">
        <f t="array" ref="R636">_xlfn.IFS(Q636&gt;40%,"Alta",Q636&gt;20%,"Média",Q636&lt;20%,"Baixa")</f>
        <v>Alta</v>
      </c>
    </row>
    <row r="637" spans="1:18" x14ac:dyDescent="0.25">
      <c r="A637" s="5">
        <v>238</v>
      </c>
      <c r="B637" s="6">
        <v>45668</v>
      </c>
      <c r="C637" s="8" t="s">
        <v>24</v>
      </c>
      <c r="D637" s="8" t="s">
        <v>35</v>
      </c>
      <c r="E637" s="8" t="s">
        <v>25</v>
      </c>
      <c r="F637" s="5">
        <v>6998</v>
      </c>
      <c r="G637" s="8" t="s">
        <v>19</v>
      </c>
      <c r="H637" s="8" t="s">
        <v>27</v>
      </c>
      <c r="I637" s="5">
        <v>13</v>
      </c>
      <c r="J637" s="10">
        <v>1101</v>
      </c>
      <c r="K637" s="10">
        <v>14313</v>
      </c>
      <c r="L637" s="10">
        <v>6305.89</v>
      </c>
      <c r="M637" s="10">
        <v>8007.11</v>
      </c>
      <c r="N637" s="8" t="s">
        <v>21</v>
      </c>
      <c r="O637" s="8" t="s">
        <v>33</v>
      </c>
      <c r="P637" s="8" t="s">
        <v>46</v>
      </c>
      <c r="Q637" s="3">
        <f t="shared" si="10"/>
        <v>0.55942919024662896</v>
      </c>
      <c r="R637" s="8" t="str" cm="1">
        <f t="array" ref="R637">_xlfn.IFS(Q637&gt;40%,"Alta",Q637&gt;20%,"Média",Q637&lt;20%,"Baixa")</f>
        <v>Alta</v>
      </c>
    </row>
    <row r="638" spans="1:18" x14ac:dyDescent="0.25">
      <c r="A638" s="5">
        <v>295</v>
      </c>
      <c r="B638" s="6">
        <v>45707</v>
      </c>
      <c r="C638" s="8" t="s">
        <v>24</v>
      </c>
      <c r="D638" s="8" t="s">
        <v>42</v>
      </c>
      <c r="E638" s="8" t="s">
        <v>25</v>
      </c>
      <c r="F638" s="5">
        <v>6975</v>
      </c>
      <c r="G638" s="8" t="s">
        <v>19</v>
      </c>
      <c r="H638" s="8" t="s">
        <v>20</v>
      </c>
      <c r="I638" s="5">
        <v>16</v>
      </c>
      <c r="J638" s="10">
        <v>888</v>
      </c>
      <c r="K638" s="10">
        <v>14208</v>
      </c>
      <c r="L638" s="10">
        <v>11340.24</v>
      </c>
      <c r="M638" s="10">
        <v>2867.76</v>
      </c>
      <c r="N638" s="8" t="s">
        <v>32</v>
      </c>
      <c r="O638" s="8" t="s">
        <v>39</v>
      </c>
      <c r="P638" s="8" t="s">
        <v>46</v>
      </c>
      <c r="Q638" s="3">
        <f t="shared" si="10"/>
        <v>0.20184121621621623</v>
      </c>
      <c r="R638" s="8" t="str" cm="1">
        <f t="array" ref="R638">_xlfn.IFS(Q638&gt;40%,"Alta",Q638&gt;20%,"Média",Q638&lt;20%,"Baixa")</f>
        <v>Média</v>
      </c>
    </row>
    <row r="639" spans="1:18" x14ac:dyDescent="0.25">
      <c r="A639" s="5">
        <v>568</v>
      </c>
      <c r="B639" s="6">
        <v>45826</v>
      </c>
      <c r="C639" s="8" t="s">
        <v>24</v>
      </c>
      <c r="D639" s="8" t="s">
        <v>35</v>
      </c>
      <c r="E639" s="8" t="s">
        <v>41</v>
      </c>
      <c r="F639" s="5">
        <v>9923</v>
      </c>
      <c r="G639" s="8" t="s">
        <v>19</v>
      </c>
      <c r="H639" s="8" t="s">
        <v>31</v>
      </c>
      <c r="I639" s="5">
        <v>11</v>
      </c>
      <c r="J639" s="10">
        <v>1288</v>
      </c>
      <c r="K639" s="10">
        <v>14168</v>
      </c>
      <c r="L639" s="10">
        <v>7713.38</v>
      </c>
      <c r="M639" s="10">
        <v>6454.62</v>
      </c>
      <c r="N639" s="8" t="s">
        <v>28</v>
      </c>
      <c r="O639" s="8" t="s">
        <v>22</v>
      </c>
      <c r="P639" s="8" t="s">
        <v>23</v>
      </c>
      <c r="Q639" s="3">
        <f t="shared" si="10"/>
        <v>0.45557735742518352</v>
      </c>
      <c r="R639" s="8" t="str" cm="1">
        <f t="array" ref="R639">_xlfn.IFS(Q639&gt;40%,"Alta",Q639&gt;20%,"Média",Q639&lt;20%,"Baixa")</f>
        <v>Alta</v>
      </c>
    </row>
    <row r="640" spans="1:18" x14ac:dyDescent="0.25">
      <c r="A640" s="5">
        <v>106</v>
      </c>
      <c r="B640" s="6">
        <v>45835</v>
      </c>
      <c r="C640" s="8" t="s">
        <v>16</v>
      </c>
      <c r="D640" s="8" t="s">
        <v>30</v>
      </c>
      <c r="E640" s="8" t="s">
        <v>25</v>
      </c>
      <c r="F640" s="5">
        <v>4653</v>
      </c>
      <c r="G640" s="8" t="s">
        <v>36</v>
      </c>
      <c r="H640" s="8" t="s">
        <v>27</v>
      </c>
      <c r="I640" s="5">
        <v>3</v>
      </c>
      <c r="J640" s="10">
        <v>4715</v>
      </c>
      <c r="K640" s="10">
        <v>14145</v>
      </c>
      <c r="L640" s="10">
        <v>11007.5</v>
      </c>
      <c r="M640" s="10">
        <v>3137.5</v>
      </c>
      <c r="N640" s="8" t="s">
        <v>21</v>
      </c>
      <c r="O640" s="8" t="s">
        <v>33</v>
      </c>
      <c r="P640" s="8" t="s">
        <v>23</v>
      </c>
      <c r="Q640" s="3">
        <f t="shared" si="10"/>
        <v>0.22180982679392011</v>
      </c>
      <c r="R640" s="8" t="str" cm="1">
        <f t="array" ref="R640">_xlfn.IFS(Q640&gt;40%,"Alta",Q640&gt;20%,"Média",Q640&lt;20%,"Baixa")</f>
        <v>Média</v>
      </c>
    </row>
    <row r="641" spans="1:18" x14ac:dyDescent="0.25">
      <c r="A641" s="5">
        <v>590</v>
      </c>
      <c r="B641" s="6">
        <v>45718</v>
      </c>
      <c r="C641" s="8" t="s">
        <v>16</v>
      </c>
      <c r="D641" s="8" t="s">
        <v>30</v>
      </c>
      <c r="E641" s="8" t="s">
        <v>25</v>
      </c>
      <c r="F641" s="5">
        <v>6285</v>
      </c>
      <c r="G641" s="8" t="s">
        <v>36</v>
      </c>
      <c r="H641" s="8" t="s">
        <v>20</v>
      </c>
      <c r="I641" s="5">
        <v>4</v>
      </c>
      <c r="J641" s="10">
        <v>3534</v>
      </c>
      <c r="K641" s="10">
        <v>14136</v>
      </c>
      <c r="L641" s="10">
        <v>10863.2</v>
      </c>
      <c r="M641" s="10">
        <v>3272.8</v>
      </c>
      <c r="N641" s="8" t="s">
        <v>21</v>
      </c>
      <c r="O641" s="8" t="s">
        <v>22</v>
      </c>
      <c r="P641" s="8" t="s">
        <v>44</v>
      </c>
      <c r="Q641" s="3">
        <f t="shared" si="10"/>
        <v>0.23152235427277873</v>
      </c>
      <c r="R641" s="8" t="str" cm="1">
        <f t="array" ref="R641">_xlfn.IFS(Q641&gt;40%,"Alta",Q641&gt;20%,"Média",Q641&lt;20%,"Baixa")</f>
        <v>Média</v>
      </c>
    </row>
    <row r="642" spans="1:18" x14ac:dyDescent="0.25">
      <c r="A642" s="5">
        <v>720</v>
      </c>
      <c r="B642" s="6">
        <v>45728</v>
      </c>
      <c r="C642" s="8" t="s">
        <v>16</v>
      </c>
      <c r="D642" s="8" t="s">
        <v>42</v>
      </c>
      <c r="E642" s="8" t="s">
        <v>18</v>
      </c>
      <c r="F642" s="5">
        <v>6971</v>
      </c>
      <c r="G642" s="8" t="s">
        <v>26</v>
      </c>
      <c r="H642" s="8" t="s">
        <v>27</v>
      </c>
      <c r="I642" s="5">
        <v>4</v>
      </c>
      <c r="J642" s="10">
        <v>3533</v>
      </c>
      <c r="K642" s="10">
        <v>14132</v>
      </c>
      <c r="L642" s="10">
        <v>9762.5400000000009</v>
      </c>
      <c r="M642" s="10">
        <v>4369.46</v>
      </c>
      <c r="N642" s="8" t="s">
        <v>21</v>
      </c>
      <c r="O642" s="8" t="s">
        <v>33</v>
      </c>
      <c r="P642" s="8" t="s">
        <v>46</v>
      </c>
      <c r="Q642" s="3">
        <f t="shared" ref="Q642:Q705" si="11">M642/K642</f>
        <v>0.30918907444098498</v>
      </c>
      <c r="R642" s="8" t="str" cm="1">
        <f t="array" ref="R642">_xlfn.IFS(Q642&gt;40%,"Alta",Q642&gt;20%,"Média",Q642&lt;20%,"Baixa")</f>
        <v>Média</v>
      </c>
    </row>
    <row r="643" spans="1:18" x14ac:dyDescent="0.25">
      <c r="A643" s="5">
        <v>392</v>
      </c>
      <c r="B643" s="6">
        <v>45765</v>
      </c>
      <c r="C643" s="8" t="s">
        <v>24</v>
      </c>
      <c r="D643" s="8" t="s">
        <v>17</v>
      </c>
      <c r="E643" s="8" t="s">
        <v>25</v>
      </c>
      <c r="F643" s="5">
        <v>6282</v>
      </c>
      <c r="G643" s="8" t="s">
        <v>26</v>
      </c>
      <c r="H643" s="8" t="s">
        <v>27</v>
      </c>
      <c r="I643" s="5">
        <v>15</v>
      </c>
      <c r="J643" s="10">
        <v>942</v>
      </c>
      <c r="K643" s="10">
        <v>14130</v>
      </c>
      <c r="L643" s="10">
        <v>8749.2199999999993</v>
      </c>
      <c r="M643" s="10">
        <v>5380.78</v>
      </c>
      <c r="N643" s="8" t="s">
        <v>28</v>
      </c>
      <c r="O643" s="8" t="s">
        <v>22</v>
      </c>
      <c r="P643" s="8" t="s">
        <v>44</v>
      </c>
      <c r="Q643" s="3">
        <f t="shared" si="11"/>
        <v>0.38080537862703467</v>
      </c>
      <c r="R643" s="8" t="str" cm="1">
        <f t="array" ref="R643">_xlfn.IFS(Q643&gt;40%,"Alta",Q643&gt;20%,"Média",Q643&lt;20%,"Baixa")</f>
        <v>Média</v>
      </c>
    </row>
    <row r="644" spans="1:18" x14ac:dyDescent="0.25">
      <c r="A644" s="5">
        <v>398</v>
      </c>
      <c r="B644" s="6">
        <v>45772</v>
      </c>
      <c r="C644" s="8" t="s">
        <v>34</v>
      </c>
      <c r="D644" s="8" t="s">
        <v>35</v>
      </c>
      <c r="E644" s="8" t="s">
        <v>41</v>
      </c>
      <c r="F644" s="5">
        <v>2780</v>
      </c>
      <c r="G644" s="8" t="s">
        <v>26</v>
      </c>
      <c r="H644" s="8" t="s">
        <v>38</v>
      </c>
      <c r="I644" s="5">
        <v>4</v>
      </c>
      <c r="J644" s="10">
        <v>3516</v>
      </c>
      <c r="K644" s="10">
        <v>14064</v>
      </c>
      <c r="L644" s="10">
        <v>7228.3</v>
      </c>
      <c r="M644" s="10">
        <v>6835.7</v>
      </c>
      <c r="N644" s="8" t="s">
        <v>21</v>
      </c>
      <c r="O644" s="8" t="s">
        <v>22</v>
      </c>
      <c r="P644" s="8" t="s">
        <v>46</v>
      </c>
      <c r="Q644" s="3">
        <f t="shared" si="11"/>
        <v>0.48604237770193398</v>
      </c>
      <c r="R644" s="8" t="str" cm="1">
        <f t="array" ref="R644">_xlfn.IFS(Q644&gt;40%,"Alta",Q644&gt;20%,"Média",Q644&lt;20%,"Baixa")</f>
        <v>Alta</v>
      </c>
    </row>
    <row r="645" spans="1:18" x14ac:dyDescent="0.25">
      <c r="A645" s="5">
        <v>351</v>
      </c>
      <c r="B645" s="6">
        <v>45795</v>
      </c>
      <c r="C645" s="8" t="s">
        <v>16</v>
      </c>
      <c r="D645" s="8" t="s">
        <v>30</v>
      </c>
      <c r="E645" s="8" t="s">
        <v>25</v>
      </c>
      <c r="F645" s="5">
        <v>6770</v>
      </c>
      <c r="G645" s="8" t="s">
        <v>19</v>
      </c>
      <c r="H645" s="8" t="s">
        <v>31</v>
      </c>
      <c r="I645" s="5">
        <v>3</v>
      </c>
      <c r="J645" s="10">
        <v>4668</v>
      </c>
      <c r="K645" s="10">
        <v>14004</v>
      </c>
      <c r="L645" s="10">
        <v>8803.0499999999993</v>
      </c>
      <c r="M645" s="10">
        <v>5200.95</v>
      </c>
      <c r="N645" s="8" t="s">
        <v>21</v>
      </c>
      <c r="O645" s="8" t="s">
        <v>39</v>
      </c>
      <c r="P645" s="8" t="s">
        <v>23</v>
      </c>
      <c r="Q645" s="3">
        <f t="shared" si="11"/>
        <v>0.37139031705227077</v>
      </c>
      <c r="R645" s="8" t="str" cm="1">
        <f t="array" ref="R645">_xlfn.IFS(Q645&gt;40%,"Alta",Q645&gt;20%,"Média",Q645&lt;20%,"Baixa")</f>
        <v>Média</v>
      </c>
    </row>
    <row r="646" spans="1:18" x14ac:dyDescent="0.25">
      <c r="A646" s="5">
        <v>692</v>
      </c>
      <c r="B646" s="6">
        <v>45727</v>
      </c>
      <c r="C646" s="8" t="s">
        <v>47</v>
      </c>
      <c r="D646" s="8" t="s">
        <v>17</v>
      </c>
      <c r="E646" s="8" t="s">
        <v>37</v>
      </c>
      <c r="F646" s="5">
        <v>5578</v>
      </c>
      <c r="G646" s="8" t="s">
        <v>36</v>
      </c>
      <c r="H646" s="8" t="s">
        <v>27</v>
      </c>
      <c r="I646" s="5">
        <v>3</v>
      </c>
      <c r="J646" s="10">
        <v>4657</v>
      </c>
      <c r="K646" s="10">
        <v>13971</v>
      </c>
      <c r="L646" s="10">
        <v>6022.4</v>
      </c>
      <c r="M646" s="10">
        <v>7948.6</v>
      </c>
      <c r="N646" s="8" t="s">
        <v>28</v>
      </c>
      <c r="O646" s="8" t="s">
        <v>33</v>
      </c>
      <c r="P646" s="8" t="s">
        <v>44</v>
      </c>
      <c r="Q646" s="3">
        <f t="shared" si="11"/>
        <v>0.56893565242287603</v>
      </c>
      <c r="R646" s="8" t="str" cm="1">
        <f t="array" ref="R646">_xlfn.IFS(Q646&gt;40%,"Alta",Q646&gt;20%,"Média",Q646&lt;20%,"Baixa")</f>
        <v>Alta</v>
      </c>
    </row>
    <row r="647" spans="1:18" x14ac:dyDescent="0.25">
      <c r="A647" s="5">
        <v>444</v>
      </c>
      <c r="B647" s="6">
        <v>45693</v>
      </c>
      <c r="C647" s="8" t="s">
        <v>47</v>
      </c>
      <c r="D647" s="8" t="s">
        <v>45</v>
      </c>
      <c r="E647" s="8" t="s">
        <v>41</v>
      </c>
      <c r="F647" s="5">
        <v>2489</v>
      </c>
      <c r="G647" s="8" t="s">
        <v>19</v>
      </c>
      <c r="H647" s="8" t="s">
        <v>43</v>
      </c>
      <c r="I647" s="5">
        <v>9</v>
      </c>
      <c r="J647" s="10">
        <v>1545</v>
      </c>
      <c r="K647" s="10">
        <v>13905</v>
      </c>
      <c r="L647" s="10">
        <v>10466.65</v>
      </c>
      <c r="M647" s="10">
        <v>3438.35</v>
      </c>
      <c r="N647" s="8" t="s">
        <v>28</v>
      </c>
      <c r="O647" s="8" t="s">
        <v>33</v>
      </c>
      <c r="P647" s="8" t="s">
        <v>23</v>
      </c>
      <c r="Q647" s="3">
        <f t="shared" si="11"/>
        <v>0.24727436174038114</v>
      </c>
      <c r="R647" s="8" t="str" cm="1">
        <f t="array" ref="R647">_xlfn.IFS(Q647&gt;40%,"Alta",Q647&gt;20%,"Média",Q647&lt;20%,"Baixa")</f>
        <v>Média</v>
      </c>
    </row>
    <row r="648" spans="1:18" x14ac:dyDescent="0.25">
      <c r="A648" s="5">
        <v>499</v>
      </c>
      <c r="B648" s="6">
        <v>45691</v>
      </c>
      <c r="C648" s="8" t="s">
        <v>16</v>
      </c>
      <c r="D648" s="8" t="s">
        <v>35</v>
      </c>
      <c r="E648" s="8" t="s">
        <v>25</v>
      </c>
      <c r="F648" s="5">
        <v>4419</v>
      </c>
      <c r="G648" s="8" t="s">
        <v>19</v>
      </c>
      <c r="H648" s="8" t="s">
        <v>43</v>
      </c>
      <c r="I648" s="5">
        <v>3</v>
      </c>
      <c r="J648" s="10">
        <v>4633</v>
      </c>
      <c r="K648" s="10">
        <v>13899</v>
      </c>
      <c r="L648" s="10">
        <v>5565.21</v>
      </c>
      <c r="M648" s="10">
        <v>8333.7900000000009</v>
      </c>
      <c r="N648" s="8" t="s">
        <v>28</v>
      </c>
      <c r="O648" s="8" t="s">
        <v>22</v>
      </c>
      <c r="P648" s="8" t="s">
        <v>46</v>
      </c>
      <c r="Q648" s="3">
        <f t="shared" si="11"/>
        <v>0.59959637383984465</v>
      </c>
      <c r="R648" s="8" t="str" cm="1">
        <f t="array" ref="R648">_xlfn.IFS(Q648&gt;40%,"Alta",Q648&gt;20%,"Média",Q648&lt;20%,"Baixa")</f>
        <v>Alta</v>
      </c>
    </row>
    <row r="649" spans="1:18" x14ac:dyDescent="0.25">
      <c r="A649" s="5">
        <v>758</v>
      </c>
      <c r="B649" s="6">
        <v>45740</v>
      </c>
      <c r="C649" s="8" t="s">
        <v>34</v>
      </c>
      <c r="D649" s="8" t="s">
        <v>30</v>
      </c>
      <c r="E649" s="8" t="s">
        <v>18</v>
      </c>
      <c r="F649" s="5">
        <v>3495</v>
      </c>
      <c r="G649" s="8" t="s">
        <v>36</v>
      </c>
      <c r="H649" s="8" t="s">
        <v>27</v>
      </c>
      <c r="I649" s="5">
        <v>8</v>
      </c>
      <c r="J649" s="10">
        <v>1735</v>
      </c>
      <c r="K649" s="10">
        <v>13880</v>
      </c>
      <c r="L649" s="10">
        <v>5941.92</v>
      </c>
      <c r="M649" s="10">
        <v>7938.08</v>
      </c>
      <c r="N649" s="8" t="s">
        <v>21</v>
      </c>
      <c r="O649" s="8" t="s">
        <v>39</v>
      </c>
      <c r="P649" s="8" t="s">
        <v>29</v>
      </c>
      <c r="Q649" s="3">
        <f t="shared" si="11"/>
        <v>0.57190778097982709</v>
      </c>
      <c r="R649" s="8" t="str" cm="1">
        <f t="array" ref="R649">_xlfn.IFS(Q649&gt;40%,"Alta",Q649&gt;20%,"Média",Q649&lt;20%,"Baixa")</f>
        <v>Alta</v>
      </c>
    </row>
    <row r="650" spans="1:18" x14ac:dyDescent="0.25">
      <c r="A650" s="5">
        <v>399</v>
      </c>
      <c r="B650" s="6">
        <v>45758</v>
      </c>
      <c r="C650" s="8" t="s">
        <v>47</v>
      </c>
      <c r="D650" s="8" t="s">
        <v>45</v>
      </c>
      <c r="E650" s="8" t="s">
        <v>41</v>
      </c>
      <c r="F650" s="5">
        <v>2872</v>
      </c>
      <c r="G650" s="8" t="s">
        <v>19</v>
      </c>
      <c r="H650" s="8" t="s">
        <v>31</v>
      </c>
      <c r="I650" s="5">
        <v>11</v>
      </c>
      <c r="J650" s="10">
        <v>1247</v>
      </c>
      <c r="K650" s="10">
        <v>13717</v>
      </c>
      <c r="L650" s="10">
        <v>6891.8</v>
      </c>
      <c r="M650" s="10">
        <v>6825.2</v>
      </c>
      <c r="N650" s="8" t="s">
        <v>28</v>
      </c>
      <c r="O650" s="8" t="s">
        <v>39</v>
      </c>
      <c r="P650" s="8" t="s">
        <v>40</v>
      </c>
      <c r="Q650" s="3">
        <f t="shared" si="11"/>
        <v>0.49757235547131295</v>
      </c>
      <c r="R650" s="8" t="str" cm="1">
        <f t="array" ref="R650">_xlfn.IFS(Q650&gt;40%,"Alta",Q650&gt;20%,"Média",Q650&lt;20%,"Baixa")</f>
        <v>Alta</v>
      </c>
    </row>
    <row r="651" spans="1:18" x14ac:dyDescent="0.25">
      <c r="A651" s="5">
        <v>251</v>
      </c>
      <c r="B651" s="6">
        <v>45711</v>
      </c>
      <c r="C651" s="8" t="s">
        <v>34</v>
      </c>
      <c r="D651" s="8" t="s">
        <v>30</v>
      </c>
      <c r="E651" s="8" t="s">
        <v>18</v>
      </c>
      <c r="F651" s="5">
        <v>9457</v>
      </c>
      <c r="G651" s="8" t="s">
        <v>26</v>
      </c>
      <c r="H651" s="8" t="s">
        <v>20</v>
      </c>
      <c r="I651" s="5">
        <v>10</v>
      </c>
      <c r="J651" s="10">
        <v>1370</v>
      </c>
      <c r="K651" s="10">
        <v>13700</v>
      </c>
      <c r="L651" s="10">
        <v>7026.97</v>
      </c>
      <c r="M651" s="10">
        <v>6673.03</v>
      </c>
      <c r="N651" s="8" t="s">
        <v>28</v>
      </c>
      <c r="O651" s="8" t="s">
        <v>33</v>
      </c>
      <c r="P651" s="8" t="s">
        <v>44</v>
      </c>
      <c r="Q651" s="3">
        <f t="shared" si="11"/>
        <v>0.48708248175182478</v>
      </c>
      <c r="R651" s="8" t="str" cm="1">
        <f t="array" ref="R651">_xlfn.IFS(Q651&gt;40%,"Alta",Q651&gt;20%,"Média",Q651&lt;20%,"Baixa")</f>
        <v>Alta</v>
      </c>
    </row>
    <row r="652" spans="1:18" x14ac:dyDescent="0.25">
      <c r="A652" s="5">
        <v>153</v>
      </c>
      <c r="B652" s="6">
        <v>45800</v>
      </c>
      <c r="C652" s="8" t="s">
        <v>34</v>
      </c>
      <c r="D652" s="8" t="s">
        <v>45</v>
      </c>
      <c r="E652" s="8" t="s">
        <v>37</v>
      </c>
      <c r="F652" s="5">
        <v>5701</v>
      </c>
      <c r="G652" s="8" t="s">
        <v>36</v>
      </c>
      <c r="H652" s="8" t="s">
        <v>38</v>
      </c>
      <c r="I652" s="5">
        <v>12</v>
      </c>
      <c r="J652" s="10">
        <v>1137</v>
      </c>
      <c r="K652" s="10">
        <v>13644</v>
      </c>
      <c r="L652" s="10">
        <v>8393.4699999999993</v>
      </c>
      <c r="M652" s="10">
        <v>5250.53</v>
      </c>
      <c r="N652" s="8" t="s">
        <v>32</v>
      </c>
      <c r="O652" s="8" t="s">
        <v>33</v>
      </c>
      <c r="P652" s="8" t="s">
        <v>29</v>
      </c>
      <c r="Q652" s="3">
        <f t="shared" si="11"/>
        <v>0.38482336558194075</v>
      </c>
      <c r="R652" s="8" t="str" cm="1">
        <f t="array" ref="R652">_xlfn.IFS(Q652&gt;40%,"Alta",Q652&gt;20%,"Média",Q652&lt;20%,"Baixa")</f>
        <v>Média</v>
      </c>
    </row>
    <row r="653" spans="1:18" x14ac:dyDescent="0.25">
      <c r="A653" s="5">
        <v>362</v>
      </c>
      <c r="B653" s="6">
        <v>45743</v>
      </c>
      <c r="C653" s="8" t="s">
        <v>34</v>
      </c>
      <c r="D653" s="8" t="s">
        <v>30</v>
      </c>
      <c r="E653" s="8" t="s">
        <v>37</v>
      </c>
      <c r="F653" s="5">
        <v>2947</v>
      </c>
      <c r="G653" s="8" t="s">
        <v>36</v>
      </c>
      <c r="H653" s="8" t="s">
        <v>27</v>
      </c>
      <c r="I653" s="5">
        <v>15</v>
      </c>
      <c r="J653" s="10">
        <v>907</v>
      </c>
      <c r="K653" s="10">
        <v>13605</v>
      </c>
      <c r="L653" s="10">
        <v>5485.75</v>
      </c>
      <c r="M653" s="10">
        <v>8119.25</v>
      </c>
      <c r="N653" s="8" t="s">
        <v>21</v>
      </c>
      <c r="O653" s="8" t="s">
        <v>39</v>
      </c>
      <c r="P653" s="8" t="s">
        <v>29</v>
      </c>
      <c r="Q653" s="3">
        <f t="shared" si="11"/>
        <v>0.5967842704887909</v>
      </c>
      <c r="R653" s="8" t="str" cm="1">
        <f t="array" ref="R653">_xlfn.IFS(Q653&gt;40%,"Alta",Q653&gt;20%,"Média",Q653&lt;20%,"Baixa")</f>
        <v>Alta</v>
      </c>
    </row>
    <row r="654" spans="1:18" x14ac:dyDescent="0.25">
      <c r="A654" s="5">
        <v>174</v>
      </c>
      <c r="B654" s="6">
        <v>45696</v>
      </c>
      <c r="C654" s="8" t="s">
        <v>16</v>
      </c>
      <c r="D654" s="8" t="s">
        <v>45</v>
      </c>
      <c r="E654" s="8" t="s">
        <v>41</v>
      </c>
      <c r="F654" s="5">
        <v>7508</v>
      </c>
      <c r="G654" s="8" t="s">
        <v>19</v>
      </c>
      <c r="H654" s="8" t="s">
        <v>43</v>
      </c>
      <c r="I654" s="5">
        <v>10</v>
      </c>
      <c r="J654" s="10">
        <v>1359</v>
      </c>
      <c r="K654" s="10">
        <v>13590</v>
      </c>
      <c r="L654" s="10">
        <v>10581.76</v>
      </c>
      <c r="M654" s="10">
        <v>3008.24</v>
      </c>
      <c r="N654" s="8" t="s">
        <v>21</v>
      </c>
      <c r="O654" s="8" t="s">
        <v>22</v>
      </c>
      <c r="P654" s="8" t="s">
        <v>44</v>
      </c>
      <c r="Q654" s="3">
        <f t="shared" si="11"/>
        <v>0.22135688005886681</v>
      </c>
      <c r="R654" s="8" t="str" cm="1">
        <f t="array" ref="R654">_xlfn.IFS(Q654&gt;40%,"Alta",Q654&gt;20%,"Média",Q654&lt;20%,"Baixa")</f>
        <v>Média</v>
      </c>
    </row>
    <row r="655" spans="1:18" x14ac:dyDescent="0.25">
      <c r="A655" s="5">
        <v>143</v>
      </c>
      <c r="B655" s="6">
        <v>45754</v>
      </c>
      <c r="C655" s="8" t="s">
        <v>24</v>
      </c>
      <c r="D655" s="8" t="s">
        <v>42</v>
      </c>
      <c r="E655" s="8" t="s">
        <v>18</v>
      </c>
      <c r="F655" s="5">
        <v>8395</v>
      </c>
      <c r="G655" s="8" t="s">
        <v>19</v>
      </c>
      <c r="H655" s="8" t="s">
        <v>43</v>
      </c>
      <c r="I655" s="5">
        <v>8</v>
      </c>
      <c r="J655" s="10">
        <v>1691</v>
      </c>
      <c r="K655" s="10">
        <v>13528</v>
      </c>
      <c r="L655" s="10">
        <v>7411.25</v>
      </c>
      <c r="M655" s="10">
        <v>6116.75</v>
      </c>
      <c r="N655" s="8" t="s">
        <v>21</v>
      </c>
      <c r="O655" s="8" t="s">
        <v>33</v>
      </c>
      <c r="P655" s="8" t="s">
        <v>23</v>
      </c>
      <c r="Q655" s="3">
        <f t="shared" si="11"/>
        <v>0.45215479006505027</v>
      </c>
      <c r="R655" s="8" t="str" cm="1">
        <f t="array" ref="R655">_xlfn.IFS(Q655&gt;40%,"Alta",Q655&gt;20%,"Média",Q655&lt;20%,"Baixa")</f>
        <v>Alta</v>
      </c>
    </row>
    <row r="656" spans="1:18" x14ac:dyDescent="0.25">
      <c r="A656" s="5">
        <v>92</v>
      </c>
      <c r="B656" s="6">
        <v>45809</v>
      </c>
      <c r="C656" s="8" t="s">
        <v>47</v>
      </c>
      <c r="D656" s="8" t="s">
        <v>17</v>
      </c>
      <c r="E656" s="8" t="s">
        <v>37</v>
      </c>
      <c r="F656" s="5">
        <v>5639</v>
      </c>
      <c r="G656" s="8" t="s">
        <v>26</v>
      </c>
      <c r="H656" s="8" t="s">
        <v>20</v>
      </c>
      <c r="I656" s="5">
        <v>3</v>
      </c>
      <c r="J656" s="10">
        <v>4497</v>
      </c>
      <c r="K656" s="10">
        <v>13491</v>
      </c>
      <c r="L656" s="10">
        <v>9957.32</v>
      </c>
      <c r="M656" s="10">
        <v>3533.68</v>
      </c>
      <c r="N656" s="8" t="s">
        <v>28</v>
      </c>
      <c r="O656" s="8" t="s">
        <v>22</v>
      </c>
      <c r="P656" s="8" t="s">
        <v>23</v>
      </c>
      <c r="Q656" s="3">
        <f t="shared" si="11"/>
        <v>0.26192869320287598</v>
      </c>
      <c r="R656" s="8" t="str" cm="1">
        <f t="array" ref="R656">_xlfn.IFS(Q656&gt;40%,"Alta",Q656&gt;20%,"Média",Q656&lt;20%,"Baixa")</f>
        <v>Média</v>
      </c>
    </row>
    <row r="657" spans="1:18" x14ac:dyDescent="0.25">
      <c r="A657" s="5">
        <v>258</v>
      </c>
      <c r="B657" s="6">
        <v>45801</v>
      </c>
      <c r="C657" s="8" t="s">
        <v>34</v>
      </c>
      <c r="D657" s="8" t="s">
        <v>35</v>
      </c>
      <c r="E657" s="8" t="s">
        <v>37</v>
      </c>
      <c r="F657" s="5">
        <v>3526</v>
      </c>
      <c r="G657" s="8" t="s">
        <v>36</v>
      </c>
      <c r="H657" s="8" t="s">
        <v>20</v>
      </c>
      <c r="I657" s="5">
        <v>3</v>
      </c>
      <c r="J657" s="10">
        <v>4484</v>
      </c>
      <c r="K657" s="10">
        <v>13452</v>
      </c>
      <c r="L657" s="10">
        <v>6705.26</v>
      </c>
      <c r="M657" s="10">
        <v>6746.74</v>
      </c>
      <c r="N657" s="8" t="s">
        <v>28</v>
      </c>
      <c r="O657" s="8" t="s">
        <v>39</v>
      </c>
      <c r="P657" s="8" t="s">
        <v>23</v>
      </c>
      <c r="Q657" s="3">
        <f t="shared" si="11"/>
        <v>0.50154177817424916</v>
      </c>
      <c r="R657" s="8" t="str" cm="1">
        <f t="array" ref="R657">_xlfn.IFS(Q657&gt;40%,"Alta",Q657&gt;20%,"Média",Q657&lt;20%,"Baixa")</f>
        <v>Alta</v>
      </c>
    </row>
    <row r="658" spans="1:18" x14ac:dyDescent="0.25">
      <c r="A658" s="5">
        <v>357</v>
      </c>
      <c r="B658" s="6">
        <v>45719</v>
      </c>
      <c r="C658" s="8" t="s">
        <v>34</v>
      </c>
      <c r="D658" s="8" t="s">
        <v>30</v>
      </c>
      <c r="E658" s="8" t="s">
        <v>37</v>
      </c>
      <c r="F658" s="5">
        <v>3454</v>
      </c>
      <c r="G658" s="8" t="s">
        <v>19</v>
      </c>
      <c r="H658" s="8" t="s">
        <v>20</v>
      </c>
      <c r="I658" s="5">
        <v>3</v>
      </c>
      <c r="J658" s="10">
        <v>4483</v>
      </c>
      <c r="K658" s="10">
        <v>13449</v>
      </c>
      <c r="L658" s="10">
        <v>8398.2999999999993</v>
      </c>
      <c r="M658" s="10">
        <v>5050.7</v>
      </c>
      <c r="N658" s="8" t="s">
        <v>21</v>
      </c>
      <c r="O658" s="8" t="s">
        <v>22</v>
      </c>
      <c r="P658" s="8" t="s">
        <v>23</v>
      </c>
      <c r="Q658" s="3">
        <f t="shared" si="11"/>
        <v>0.37554465015986316</v>
      </c>
      <c r="R658" s="8" t="str" cm="1">
        <f t="array" ref="R658">_xlfn.IFS(Q658&gt;40%,"Alta",Q658&gt;20%,"Média",Q658&lt;20%,"Baixa")</f>
        <v>Média</v>
      </c>
    </row>
    <row r="659" spans="1:18" x14ac:dyDescent="0.25">
      <c r="A659" s="5">
        <v>282</v>
      </c>
      <c r="B659" s="6">
        <v>45701</v>
      </c>
      <c r="C659" s="8" t="s">
        <v>47</v>
      </c>
      <c r="D659" s="8" t="s">
        <v>42</v>
      </c>
      <c r="E659" s="8" t="s">
        <v>41</v>
      </c>
      <c r="F659" s="5">
        <v>2521</v>
      </c>
      <c r="G659" s="8" t="s">
        <v>19</v>
      </c>
      <c r="H659" s="8" t="s">
        <v>31</v>
      </c>
      <c r="I659" s="5">
        <v>6</v>
      </c>
      <c r="J659" s="10">
        <v>2233</v>
      </c>
      <c r="K659" s="10">
        <v>13398</v>
      </c>
      <c r="L659" s="10">
        <v>6600.86</v>
      </c>
      <c r="M659" s="10">
        <v>6797.14</v>
      </c>
      <c r="N659" s="8" t="s">
        <v>28</v>
      </c>
      <c r="O659" s="8" t="s">
        <v>22</v>
      </c>
      <c r="P659" s="8" t="s">
        <v>44</v>
      </c>
      <c r="Q659" s="3">
        <f t="shared" si="11"/>
        <v>0.50732497387669806</v>
      </c>
      <c r="R659" s="8" t="str" cm="1">
        <f t="array" ref="R659">_xlfn.IFS(Q659&gt;40%,"Alta",Q659&gt;20%,"Média",Q659&lt;20%,"Baixa")</f>
        <v>Alta</v>
      </c>
    </row>
    <row r="660" spans="1:18" x14ac:dyDescent="0.25">
      <c r="A660" s="5">
        <v>808</v>
      </c>
      <c r="B660" s="6">
        <v>45700</v>
      </c>
      <c r="C660" s="8" t="s">
        <v>47</v>
      </c>
      <c r="D660" s="8" t="s">
        <v>30</v>
      </c>
      <c r="E660" s="8" t="s">
        <v>37</v>
      </c>
      <c r="F660" s="5">
        <v>4672</v>
      </c>
      <c r="G660" s="8" t="s">
        <v>36</v>
      </c>
      <c r="H660" s="8" t="s">
        <v>43</v>
      </c>
      <c r="I660" s="5">
        <v>7</v>
      </c>
      <c r="J660" s="10">
        <v>1907</v>
      </c>
      <c r="K660" s="10">
        <v>13349</v>
      </c>
      <c r="L660" s="10">
        <v>7057.33</v>
      </c>
      <c r="M660" s="10">
        <v>6291.67</v>
      </c>
      <c r="N660" s="8" t="s">
        <v>28</v>
      </c>
      <c r="O660" s="8" t="s">
        <v>22</v>
      </c>
      <c r="P660" s="8" t="s">
        <v>46</v>
      </c>
      <c r="Q660" s="3">
        <f t="shared" si="11"/>
        <v>0.47132144729942316</v>
      </c>
      <c r="R660" s="8" t="str" cm="1">
        <f t="array" ref="R660">_xlfn.IFS(Q660&gt;40%,"Alta",Q660&gt;20%,"Média",Q660&lt;20%,"Baixa")</f>
        <v>Alta</v>
      </c>
    </row>
    <row r="661" spans="1:18" x14ac:dyDescent="0.25">
      <c r="A661" s="5">
        <v>700</v>
      </c>
      <c r="B661" s="6">
        <v>45822</v>
      </c>
      <c r="C661" s="8" t="s">
        <v>34</v>
      </c>
      <c r="D661" s="8" t="s">
        <v>35</v>
      </c>
      <c r="E661" s="8" t="s">
        <v>41</v>
      </c>
      <c r="F661" s="5">
        <v>9336</v>
      </c>
      <c r="G661" s="8" t="s">
        <v>19</v>
      </c>
      <c r="H661" s="8" t="s">
        <v>43</v>
      </c>
      <c r="I661" s="5">
        <v>10</v>
      </c>
      <c r="J661" s="10">
        <v>1332</v>
      </c>
      <c r="K661" s="10">
        <v>13320</v>
      </c>
      <c r="L661" s="10">
        <v>8888.0400000000009</v>
      </c>
      <c r="M661" s="10">
        <v>4431.96</v>
      </c>
      <c r="N661" s="8" t="s">
        <v>32</v>
      </c>
      <c r="O661" s="8" t="s">
        <v>33</v>
      </c>
      <c r="P661" s="8" t="s">
        <v>46</v>
      </c>
      <c r="Q661" s="3">
        <f t="shared" si="11"/>
        <v>0.33272972972972975</v>
      </c>
      <c r="R661" s="8" t="str" cm="1">
        <f t="array" ref="R661">_xlfn.IFS(Q661&gt;40%,"Alta",Q661&gt;20%,"Média",Q661&lt;20%,"Baixa")</f>
        <v>Média</v>
      </c>
    </row>
    <row r="662" spans="1:18" x14ac:dyDescent="0.25">
      <c r="A662" s="5">
        <v>241</v>
      </c>
      <c r="B662" s="6">
        <v>45777</v>
      </c>
      <c r="C662" s="8" t="s">
        <v>24</v>
      </c>
      <c r="D662" s="8" t="s">
        <v>42</v>
      </c>
      <c r="E662" s="8" t="s">
        <v>41</v>
      </c>
      <c r="F662" s="5">
        <v>3815</v>
      </c>
      <c r="G662" s="8" t="s">
        <v>26</v>
      </c>
      <c r="H662" s="8" t="s">
        <v>27</v>
      </c>
      <c r="I662" s="5">
        <v>20</v>
      </c>
      <c r="J662" s="10">
        <v>663</v>
      </c>
      <c r="K662" s="10">
        <v>13260</v>
      </c>
      <c r="L662" s="10">
        <v>6067.65</v>
      </c>
      <c r="M662" s="10">
        <v>7192.35</v>
      </c>
      <c r="N662" s="8" t="s">
        <v>21</v>
      </c>
      <c r="O662" s="8" t="s">
        <v>22</v>
      </c>
      <c r="P662" s="8" t="s">
        <v>44</v>
      </c>
      <c r="Q662" s="3">
        <f t="shared" si="11"/>
        <v>0.54240950226244344</v>
      </c>
      <c r="R662" s="8" t="str" cm="1">
        <f t="array" ref="R662">_xlfn.IFS(Q662&gt;40%,"Alta",Q662&gt;20%,"Média",Q662&lt;20%,"Baixa")</f>
        <v>Alta</v>
      </c>
    </row>
    <row r="663" spans="1:18" x14ac:dyDescent="0.25">
      <c r="A663" s="5">
        <v>135</v>
      </c>
      <c r="B663" s="6">
        <v>45675</v>
      </c>
      <c r="C663" s="8" t="s">
        <v>16</v>
      </c>
      <c r="D663" s="8" t="s">
        <v>42</v>
      </c>
      <c r="E663" s="8" t="s">
        <v>41</v>
      </c>
      <c r="F663" s="5">
        <v>8895</v>
      </c>
      <c r="G663" s="8" t="s">
        <v>19</v>
      </c>
      <c r="H663" s="8" t="s">
        <v>38</v>
      </c>
      <c r="I663" s="5">
        <v>3</v>
      </c>
      <c r="J663" s="10">
        <v>4403</v>
      </c>
      <c r="K663" s="10">
        <v>13209</v>
      </c>
      <c r="L663" s="10">
        <v>9479.17</v>
      </c>
      <c r="M663" s="10">
        <v>3729.83</v>
      </c>
      <c r="N663" s="8" t="s">
        <v>32</v>
      </c>
      <c r="O663" s="8" t="s">
        <v>33</v>
      </c>
      <c r="P663" s="8" t="s">
        <v>46</v>
      </c>
      <c r="Q663" s="3">
        <f t="shared" si="11"/>
        <v>0.2823703535468241</v>
      </c>
      <c r="R663" s="8" t="str" cm="1">
        <f t="array" ref="R663">_xlfn.IFS(Q663&gt;40%,"Alta",Q663&gt;20%,"Média",Q663&lt;20%,"Baixa")</f>
        <v>Média</v>
      </c>
    </row>
    <row r="664" spans="1:18" x14ac:dyDescent="0.25">
      <c r="A664" s="5">
        <v>895</v>
      </c>
      <c r="B664" s="6">
        <v>45738</v>
      </c>
      <c r="C664" s="8" t="s">
        <v>16</v>
      </c>
      <c r="D664" s="8" t="s">
        <v>17</v>
      </c>
      <c r="E664" s="8" t="s">
        <v>41</v>
      </c>
      <c r="F664" s="5">
        <v>9648</v>
      </c>
      <c r="G664" s="8" t="s">
        <v>19</v>
      </c>
      <c r="H664" s="8" t="s">
        <v>20</v>
      </c>
      <c r="I664" s="5">
        <v>3</v>
      </c>
      <c r="J664" s="10">
        <v>4381</v>
      </c>
      <c r="K664" s="10">
        <v>13143</v>
      </c>
      <c r="L664" s="10">
        <v>9308.69</v>
      </c>
      <c r="M664" s="10">
        <v>3834.31</v>
      </c>
      <c r="N664" s="8" t="s">
        <v>32</v>
      </c>
      <c r="O664" s="8" t="s">
        <v>33</v>
      </c>
      <c r="P664" s="8" t="s">
        <v>29</v>
      </c>
      <c r="Q664" s="3">
        <f t="shared" si="11"/>
        <v>0.29173780719774783</v>
      </c>
      <c r="R664" s="8" t="str" cm="1">
        <f t="array" ref="R664">_xlfn.IFS(Q664&gt;40%,"Alta",Q664&gt;20%,"Média",Q664&lt;20%,"Baixa")</f>
        <v>Média</v>
      </c>
    </row>
    <row r="665" spans="1:18" x14ac:dyDescent="0.25">
      <c r="A665" s="5">
        <v>722</v>
      </c>
      <c r="B665" s="6">
        <v>45830</v>
      </c>
      <c r="C665" s="8" t="s">
        <v>47</v>
      </c>
      <c r="D665" s="8" t="s">
        <v>45</v>
      </c>
      <c r="E665" s="8" t="s">
        <v>37</v>
      </c>
      <c r="F665" s="5">
        <v>5653</v>
      </c>
      <c r="G665" s="8" t="s">
        <v>26</v>
      </c>
      <c r="H665" s="8" t="s">
        <v>31</v>
      </c>
      <c r="I665" s="5">
        <v>6</v>
      </c>
      <c r="J665" s="10">
        <v>2190</v>
      </c>
      <c r="K665" s="10">
        <v>13140</v>
      </c>
      <c r="L665" s="10">
        <v>8734.58</v>
      </c>
      <c r="M665" s="10">
        <v>4405.42</v>
      </c>
      <c r="N665" s="8" t="s">
        <v>21</v>
      </c>
      <c r="O665" s="8" t="s">
        <v>39</v>
      </c>
      <c r="P665" s="8" t="s">
        <v>23</v>
      </c>
      <c r="Q665" s="3">
        <f t="shared" si="11"/>
        <v>0.33526788432267884</v>
      </c>
      <c r="R665" s="8" t="str" cm="1">
        <f t="array" ref="R665">_xlfn.IFS(Q665&gt;40%,"Alta",Q665&gt;20%,"Média",Q665&lt;20%,"Baixa")</f>
        <v>Média</v>
      </c>
    </row>
    <row r="666" spans="1:18" x14ac:dyDescent="0.25">
      <c r="A666" s="5">
        <v>786</v>
      </c>
      <c r="B666" s="6">
        <v>45785</v>
      </c>
      <c r="C666" s="8" t="s">
        <v>34</v>
      </c>
      <c r="D666" s="8" t="s">
        <v>42</v>
      </c>
      <c r="E666" s="8" t="s">
        <v>41</v>
      </c>
      <c r="F666" s="5">
        <v>5770</v>
      </c>
      <c r="G666" s="8" t="s">
        <v>26</v>
      </c>
      <c r="H666" s="8" t="s">
        <v>43</v>
      </c>
      <c r="I666" s="5">
        <v>10</v>
      </c>
      <c r="J666" s="10">
        <v>1314</v>
      </c>
      <c r="K666" s="10">
        <v>13140</v>
      </c>
      <c r="L666" s="10">
        <v>8683.81</v>
      </c>
      <c r="M666" s="10">
        <v>4456.1899999999996</v>
      </c>
      <c r="N666" s="8" t="s">
        <v>28</v>
      </c>
      <c r="O666" s="8" t="s">
        <v>33</v>
      </c>
      <c r="P666" s="8" t="s">
        <v>29</v>
      </c>
      <c r="Q666" s="3">
        <f t="shared" si="11"/>
        <v>0.33913165905631654</v>
      </c>
      <c r="R666" s="8" t="str" cm="1">
        <f t="array" ref="R666">_xlfn.IFS(Q666&gt;40%,"Alta",Q666&gt;20%,"Média",Q666&lt;20%,"Baixa")</f>
        <v>Média</v>
      </c>
    </row>
    <row r="667" spans="1:18" x14ac:dyDescent="0.25">
      <c r="A667" s="5">
        <v>195</v>
      </c>
      <c r="B667" s="6">
        <v>45824</v>
      </c>
      <c r="C667" s="8" t="s">
        <v>16</v>
      </c>
      <c r="D667" s="8" t="s">
        <v>30</v>
      </c>
      <c r="E667" s="8" t="s">
        <v>25</v>
      </c>
      <c r="F667" s="5">
        <v>5306</v>
      </c>
      <c r="G667" s="8" t="s">
        <v>19</v>
      </c>
      <c r="H667" s="8" t="s">
        <v>27</v>
      </c>
      <c r="I667" s="5">
        <v>3</v>
      </c>
      <c r="J667" s="10">
        <v>4368</v>
      </c>
      <c r="K667" s="10">
        <v>13104</v>
      </c>
      <c r="L667" s="10">
        <v>6672.71</v>
      </c>
      <c r="M667" s="10">
        <v>6431.29</v>
      </c>
      <c r="N667" s="8" t="s">
        <v>21</v>
      </c>
      <c r="O667" s="8" t="s">
        <v>39</v>
      </c>
      <c r="P667" s="8" t="s">
        <v>46</v>
      </c>
      <c r="Q667" s="3">
        <f t="shared" si="11"/>
        <v>0.49078830891330893</v>
      </c>
      <c r="R667" s="8" t="str" cm="1">
        <f t="array" ref="R667">_xlfn.IFS(Q667&gt;40%,"Alta",Q667&gt;20%,"Média",Q667&lt;20%,"Baixa")</f>
        <v>Alta</v>
      </c>
    </row>
    <row r="668" spans="1:18" x14ac:dyDescent="0.25">
      <c r="A668" s="5">
        <v>628</v>
      </c>
      <c r="B668" s="6">
        <v>45780</v>
      </c>
      <c r="C668" s="8" t="s">
        <v>24</v>
      </c>
      <c r="D668" s="8" t="s">
        <v>17</v>
      </c>
      <c r="E668" s="8" t="s">
        <v>18</v>
      </c>
      <c r="F668" s="5">
        <v>9264</v>
      </c>
      <c r="G668" s="8" t="s">
        <v>26</v>
      </c>
      <c r="H668" s="8" t="s">
        <v>43</v>
      </c>
      <c r="I668" s="5">
        <v>5</v>
      </c>
      <c r="J668" s="10">
        <v>2600</v>
      </c>
      <c r="K668" s="10">
        <v>13000</v>
      </c>
      <c r="L668" s="10">
        <v>9003.56</v>
      </c>
      <c r="M668" s="10">
        <v>3996.44</v>
      </c>
      <c r="N668" s="8" t="s">
        <v>21</v>
      </c>
      <c r="O668" s="8" t="s">
        <v>22</v>
      </c>
      <c r="P668" s="8" t="s">
        <v>23</v>
      </c>
      <c r="Q668" s="3">
        <f t="shared" si="11"/>
        <v>0.30741846153846153</v>
      </c>
      <c r="R668" s="8" t="str" cm="1">
        <f t="array" ref="R668">_xlfn.IFS(Q668&gt;40%,"Alta",Q668&gt;20%,"Média",Q668&lt;20%,"Baixa")</f>
        <v>Média</v>
      </c>
    </row>
    <row r="669" spans="1:18" x14ac:dyDescent="0.25">
      <c r="A669" s="5">
        <v>464</v>
      </c>
      <c r="B669" s="6">
        <v>45704</v>
      </c>
      <c r="C669" s="8" t="s">
        <v>47</v>
      </c>
      <c r="D669" s="8" t="s">
        <v>30</v>
      </c>
      <c r="E669" s="8" t="s">
        <v>41</v>
      </c>
      <c r="F669" s="5">
        <v>3656</v>
      </c>
      <c r="G669" s="8" t="s">
        <v>26</v>
      </c>
      <c r="H669" s="8" t="s">
        <v>38</v>
      </c>
      <c r="I669" s="5">
        <v>6</v>
      </c>
      <c r="J669" s="10">
        <v>2163</v>
      </c>
      <c r="K669" s="10">
        <v>12978</v>
      </c>
      <c r="L669" s="10">
        <v>9238.0400000000009</v>
      </c>
      <c r="M669" s="10">
        <v>3739.96</v>
      </c>
      <c r="N669" s="8" t="s">
        <v>21</v>
      </c>
      <c r="O669" s="8" t="s">
        <v>33</v>
      </c>
      <c r="P669" s="8" t="s">
        <v>29</v>
      </c>
      <c r="Q669" s="3">
        <f t="shared" si="11"/>
        <v>0.28817691477885654</v>
      </c>
      <c r="R669" s="8" t="str" cm="1">
        <f t="array" ref="R669">_xlfn.IFS(Q669&gt;40%,"Alta",Q669&gt;20%,"Média",Q669&lt;20%,"Baixa")</f>
        <v>Média</v>
      </c>
    </row>
    <row r="670" spans="1:18" x14ac:dyDescent="0.25">
      <c r="A670" s="5">
        <v>484</v>
      </c>
      <c r="B670" s="6">
        <v>45743</v>
      </c>
      <c r="C670" s="8" t="s">
        <v>16</v>
      </c>
      <c r="D670" s="8" t="s">
        <v>42</v>
      </c>
      <c r="E670" s="8" t="s">
        <v>25</v>
      </c>
      <c r="F670" s="5">
        <v>8916</v>
      </c>
      <c r="G670" s="8" t="s">
        <v>19</v>
      </c>
      <c r="H670" s="8" t="s">
        <v>27</v>
      </c>
      <c r="I670" s="5">
        <v>7</v>
      </c>
      <c r="J670" s="10">
        <v>1854</v>
      </c>
      <c r="K670" s="10">
        <v>12978</v>
      </c>
      <c r="L670" s="10">
        <v>6421.47</v>
      </c>
      <c r="M670" s="10">
        <v>6556.53</v>
      </c>
      <c r="N670" s="8" t="s">
        <v>32</v>
      </c>
      <c r="O670" s="8" t="s">
        <v>22</v>
      </c>
      <c r="P670" s="8" t="s">
        <v>40</v>
      </c>
      <c r="Q670" s="3">
        <f t="shared" si="11"/>
        <v>0.50520342117429495</v>
      </c>
      <c r="R670" s="8" t="str" cm="1">
        <f t="array" ref="R670">_xlfn.IFS(Q670&gt;40%,"Alta",Q670&gt;20%,"Média",Q670&lt;20%,"Baixa")</f>
        <v>Alta</v>
      </c>
    </row>
    <row r="671" spans="1:18" x14ac:dyDescent="0.25">
      <c r="A671" s="5">
        <v>157</v>
      </c>
      <c r="B671" s="6">
        <v>45785</v>
      </c>
      <c r="C671" s="8" t="s">
        <v>34</v>
      </c>
      <c r="D671" s="8" t="s">
        <v>17</v>
      </c>
      <c r="E671" s="8" t="s">
        <v>37</v>
      </c>
      <c r="F671" s="5">
        <v>3265</v>
      </c>
      <c r="G671" s="8" t="s">
        <v>36</v>
      </c>
      <c r="H671" s="8" t="s">
        <v>20</v>
      </c>
      <c r="I671" s="5">
        <v>11</v>
      </c>
      <c r="J671" s="10">
        <v>1179</v>
      </c>
      <c r="K671" s="10">
        <v>12969</v>
      </c>
      <c r="L671" s="10">
        <v>6050.92</v>
      </c>
      <c r="M671" s="10">
        <v>6918.08</v>
      </c>
      <c r="N671" s="8" t="s">
        <v>28</v>
      </c>
      <c r="O671" s="8" t="s">
        <v>33</v>
      </c>
      <c r="P671" s="8" t="s">
        <v>29</v>
      </c>
      <c r="Q671" s="3">
        <f t="shared" si="11"/>
        <v>0.53343203022592334</v>
      </c>
      <c r="R671" s="8" t="str" cm="1">
        <f t="array" ref="R671">_xlfn.IFS(Q671&gt;40%,"Alta",Q671&gt;20%,"Média",Q671&lt;20%,"Baixa")</f>
        <v>Alta</v>
      </c>
    </row>
    <row r="672" spans="1:18" x14ac:dyDescent="0.25">
      <c r="A672" s="5">
        <v>852</v>
      </c>
      <c r="B672" s="6">
        <v>45729</v>
      </c>
      <c r="C672" s="8" t="s">
        <v>24</v>
      </c>
      <c r="D672" s="8" t="s">
        <v>17</v>
      </c>
      <c r="E672" s="8" t="s">
        <v>41</v>
      </c>
      <c r="F672" s="5">
        <v>7953</v>
      </c>
      <c r="G672" s="8" t="s">
        <v>36</v>
      </c>
      <c r="H672" s="8" t="s">
        <v>31</v>
      </c>
      <c r="I672" s="5">
        <v>8</v>
      </c>
      <c r="J672" s="10">
        <v>1620</v>
      </c>
      <c r="K672" s="10">
        <v>12960</v>
      </c>
      <c r="L672" s="10">
        <v>9649.4599999999991</v>
      </c>
      <c r="M672" s="10">
        <v>3310.54</v>
      </c>
      <c r="N672" s="8" t="s">
        <v>32</v>
      </c>
      <c r="O672" s="8" t="s">
        <v>39</v>
      </c>
      <c r="P672" s="8" t="s">
        <v>23</v>
      </c>
      <c r="Q672" s="3">
        <f t="shared" si="11"/>
        <v>0.25544290123456792</v>
      </c>
      <c r="R672" s="8" t="str" cm="1">
        <f t="array" ref="R672">_xlfn.IFS(Q672&gt;40%,"Alta",Q672&gt;20%,"Média",Q672&lt;20%,"Baixa")</f>
        <v>Média</v>
      </c>
    </row>
    <row r="673" spans="1:18" x14ac:dyDescent="0.25">
      <c r="A673" s="5">
        <v>548</v>
      </c>
      <c r="B673" s="6">
        <v>45697</v>
      </c>
      <c r="C673" s="8" t="s">
        <v>47</v>
      </c>
      <c r="D673" s="8" t="s">
        <v>45</v>
      </c>
      <c r="E673" s="8" t="s">
        <v>25</v>
      </c>
      <c r="F673" s="5">
        <v>2580</v>
      </c>
      <c r="G673" s="8" t="s">
        <v>36</v>
      </c>
      <c r="H673" s="8" t="s">
        <v>20</v>
      </c>
      <c r="I673" s="5">
        <v>14</v>
      </c>
      <c r="J673" s="10">
        <v>921</v>
      </c>
      <c r="K673" s="10">
        <v>12894</v>
      </c>
      <c r="L673" s="10">
        <v>8816.2000000000007</v>
      </c>
      <c r="M673" s="10">
        <v>4077.8</v>
      </c>
      <c r="N673" s="8" t="s">
        <v>21</v>
      </c>
      <c r="O673" s="8" t="s">
        <v>22</v>
      </c>
      <c r="P673" s="8" t="s">
        <v>40</v>
      </c>
      <c r="Q673" s="3">
        <f t="shared" si="11"/>
        <v>0.31625562277028074</v>
      </c>
      <c r="R673" s="8" t="str" cm="1">
        <f t="array" ref="R673">_xlfn.IFS(Q673&gt;40%,"Alta",Q673&gt;20%,"Média",Q673&lt;20%,"Baixa")</f>
        <v>Média</v>
      </c>
    </row>
    <row r="674" spans="1:18" x14ac:dyDescent="0.25">
      <c r="A674" s="5">
        <v>365</v>
      </c>
      <c r="B674" s="6">
        <v>45782</v>
      </c>
      <c r="C674" s="8" t="s">
        <v>24</v>
      </c>
      <c r="D674" s="8" t="s">
        <v>30</v>
      </c>
      <c r="E674" s="8" t="s">
        <v>18</v>
      </c>
      <c r="F674" s="5">
        <v>7895</v>
      </c>
      <c r="G674" s="8" t="s">
        <v>36</v>
      </c>
      <c r="H674" s="8" t="s">
        <v>20</v>
      </c>
      <c r="I674" s="5">
        <v>7</v>
      </c>
      <c r="J674" s="10">
        <v>1837</v>
      </c>
      <c r="K674" s="10">
        <v>12859</v>
      </c>
      <c r="L674" s="10">
        <v>9610.39</v>
      </c>
      <c r="M674" s="10">
        <v>3248.61</v>
      </c>
      <c r="N674" s="8" t="s">
        <v>28</v>
      </c>
      <c r="O674" s="8" t="s">
        <v>39</v>
      </c>
      <c r="P674" s="8" t="s">
        <v>46</v>
      </c>
      <c r="Q674" s="3">
        <f t="shared" si="11"/>
        <v>0.25263317520802553</v>
      </c>
      <c r="R674" s="8" t="str" cm="1">
        <f t="array" ref="R674">_xlfn.IFS(Q674&gt;40%,"Alta",Q674&gt;20%,"Média",Q674&lt;20%,"Baixa")</f>
        <v>Média</v>
      </c>
    </row>
    <row r="675" spans="1:18" x14ac:dyDescent="0.25">
      <c r="A675" s="5">
        <v>995</v>
      </c>
      <c r="B675" s="6">
        <v>45796</v>
      </c>
      <c r="C675" s="8" t="s">
        <v>24</v>
      </c>
      <c r="D675" s="8" t="s">
        <v>17</v>
      </c>
      <c r="E675" s="8" t="s">
        <v>25</v>
      </c>
      <c r="F675" s="5">
        <v>4530</v>
      </c>
      <c r="G675" s="8" t="s">
        <v>26</v>
      </c>
      <c r="H675" s="8" t="s">
        <v>27</v>
      </c>
      <c r="I675" s="5">
        <v>3</v>
      </c>
      <c r="J675" s="10">
        <v>4282</v>
      </c>
      <c r="K675" s="10">
        <v>12846</v>
      </c>
      <c r="L675" s="10">
        <v>9506.7000000000007</v>
      </c>
      <c r="M675" s="10">
        <v>3339.3</v>
      </c>
      <c r="N675" s="8" t="s">
        <v>21</v>
      </c>
      <c r="O675" s="8" t="s">
        <v>39</v>
      </c>
      <c r="P675" s="8" t="s">
        <v>44</v>
      </c>
      <c r="Q675" s="3">
        <f t="shared" si="11"/>
        <v>0.25994862213918729</v>
      </c>
      <c r="R675" s="8" t="str" cm="1">
        <f t="array" ref="R675">_xlfn.IFS(Q675&gt;40%,"Alta",Q675&gt;20%,"Média",Q675&lt;20%,"Baixa")</f>
        <v>Média</v>
      </c>
    </row>
    <row r="676" spans="1:18" x14ac:dyDescent="0.25">
      <c r="A676" s="5">
        <v>994</v>
      </c>
      <c r="B676" s="6">
        <v>45688</v>
      </c>
      <c r="C676" s="8" t="s">
        <v>24</v>
      </c>
      <c r="D676" s="8" t="s">
        <v>42</v>
      </c>
      <c r="E676" s="8" t="s">
        <v>37</v>
      </c>
      <c r="F676" s="5">
        <v>4012</v>
      </c>
      <c r="G676" s="8" t="s">
        <v>26</v>
      </c>
      <c r="H676" s="8" t="s">
        <v>38</v>
      </c>
      <c r="I676" s="5">
        <v>9</v>
      </c>
      <c r="J676" s="10">
        <v>1427</v>
      </c>
      <c r="K676" s="10">
        <v>12843</v>
      </c>
      <c r="L676" s="10">
        <v>7184.23</v>
      </c>
      <c r="M676" s="10">
        <v>5658.77</v>
      </c>
      <c r="N676" s="8" t="s">
        <v>32</v>
      </c>
      <c r="O676" s="8" t="s">
        <v>39</v>
      </c>
      <c r="P676" s="8" t="s">
        <v>44</v>
      </c>
      <c r="Q676" s="3">
        <f t="shared" si="11"/>
        <v>0.44061122790625246</v>
      </c>
      <c r="R676" s="8" t="str" cm="1">
        <f t="array" ref="R676">_xlfn.IFS(Q676&gt;40%,"Alta",Q676&gt;20%,"Média",Q676&lt;20%,"Baixa")</f>
        <v>Alta</v>
      </c>
    </row>
    <row r="677" spans="1:18" x14ac:dyDescent="0.25">
      <c r="A677" s="5">
        <v>115</v>
      </c>
      <c r="B677" s="6">
        <v>45819</v>
      </c>
      <c r="C677" s="8" t="s">
        <v>47</v>
      </c>
      <c r="D677" s="8" t="s">
        <v>30</v>
      </c>
      <c r="E677" s="8" t="s">
        <v>37</v>
      </c>
      <c r="F677" s="5">
        <v>4675</v>
      </c>
      <c r="G677" s="8" t="s">
        <v>19</v>
      </c>
      <c r="H677" s="8" t="s">
        <v>38</v>
      </c>
      <c r="I677" s="5">
        <v>6</v>
      </c>
      <c r="J677" s="10">
        <v>2132</v>
      </c>
      <c r="K677" s="10">
        <v>12792</v>
      </c>
      <c r="L677" s="10">
        <v>6349.56</v>
      </c>
      <c r="M677" s="10">
        <v>6442.44</v>
      </c>
      <c r="N677" s="8" t="s">
        <v>21</v>
      </c>
      <c r="O677" s="8" t="s">
        <v>39</v>
      </c>
      <c r="P677" s="8" t="s">
        <v>44</v>
      </c>
      <c r="Q677" s="3">
        <f t="shared" si="11"/>
        <v>0.50363039399624765</v>
      </c>
      <c r="R677" s="8" t="str" cm="1">
        <f t="array" ref="R677">_xlfn.IFS(Q677&gt;40%,"Alta",Q677&gt;20%,"Média",Q677&lt;20%,"Baixa")</f>
        <v>Alta</v>
      </c>
    </row>
    <row r="678" spans="1:18" x14ac:dyDescent="0.25">
      <c r="A678" s="5">
        <v>845</v>
      </c>
      <c r="B678" s="6">
        <v>45838</v>
      </c>
      <c r="C678" s="8" t="s">
        <v>16</v>
      </c>
      <c r="D678" s="8" t="s">
        <v>30</v>
      </c>
      <c r="E678" s="8" t="s">
        <v>37</v>
      </c>
      <c r="F678" s="5">
        <v>3308</v>
      </c>
      <c r="G678" s="8" t="s">
        <v>36</v>
      </c>
      <c r="H678" s="8" t="s">
        <v>31</v>
      </c>
      <c r="I678" s="5">
        <v>5</v>
      </c>
      <c r="J678" s="10">
        <v>2553</v>
      </c>
      <c r="K678" s="10">
        <v>12765</v>
      </c>
      <c r="L678" s="10">
        <v>8179.61</v>
      </c>
      <c r="M678" s="10">
        <v>4585.3900000000003</v>
      </c>
      <c r="N678" s="8" t="s">
        <v>21</v>
      </c>
      <c r="O678" s="8" t="s">
        <v>22</v>
      </c>
      <c r="P678" s="8" t="s">
        <v>46</v>
      </c>
      <c r="Q678" s="3">
        <f t="shared" si="11"/>
        <v>0.35921582452017237</v>
      </c>
      <c r="R678" s="8" t="str" cm="1">
        <f t="array" ref="R678">_xlfn.IFS(Q678&gt;40%,"Alta",Q678&gt;20%,"Média",Q678&lt;20%,"Baixa")</f>
        <v>Média</v>
      </c>
    </row>
    <row r="679" spans="1:18" x14ac:dyDescent="0.25">
      <c r="A679" s="5">
        <v>82</v>
      </c>
      <c r="B679" s="6">
        <v>45720</v>
      </c>
      <c r="C679" s="8" t="s">
        <v>24</v>
      </c>
      <c r="D679" s="8" t="s">
        <v>17</v>
      </c>
      <c r="E679" s="8" t="s">
        <v>18</v>
      </c>
      <c r="F679" s="5">
        <v>9227</v>
      </c>
      <c r="G679" s="8" t="s">
        <v>26</v>
      </c>
      <c r="H679" s="8" t="s">
        <v>27</v>
      </c>
      <c r="I679" s="5">
        <v>4</v>
      </c>
      <c r="J679" s="10">
        <v>3184</v>
      </c>
      <c r="K679" s="10">
        <v>12736</v>
      </c>
      <c r="L679" s="10">
        <v>9987.99</v>
      </c>
      <c r="M679" s="10">
        <v>2748.01</v>
      </c>
      <c r="N679" s="8" t="s">
        <v>28</v>
      </c>
      <c r="O679" s="8" t="s">
        <v>22</v>
      </c>
      <c r="P679" s="8" t="s">
        <v>29</v>
      </c>
      <c r="Q679" s="3">
        <f t="shared" si="11"/>
        <v>0.21576711683417088</v>
      </c>
      <c r="R679" s="8" t="str" cm="1">
        <f t="array" ref="R679">_xlfn.IFS(Q679&gt;40%,"Alta",Q679&gt;20%,"Média",Q679&lt;20%,"Baixa")</f>
        <v>Média</v>
      </c>
    </row>
    <row r="680" spans="1:18" x14ac:dyDescent="0.25">
      <c r="A680" s="5">
        <v>497</v>
      </c>
      <c r="B680" s="6">
        <v>45823</v>
      </c>
      <c r="C680" s="8" t="s">
        <v>24</v>
      </c>
      <c r="D680" s="8" t="s">
        <v>45</v>
      </c>
      <c r="E680" s="8" t="s">
        <v>25</v>
      </c>
      <c r="F680" s="5">
        <v>5172</v>
      </c>
      <c r="G680" s="8" t="s">
        <v>36</v>
      </c>
      <c r="H680" s="8" t="s">
        <v>38</v>
      </c>
      <c r="I680" s="5">
        <v>5</v>
      </c>
      <c r="J680" s="10">
        <v>2542</v>
      </c>
      <c r="K680" s="10">
        <v>12710</v>
      </c>
      <c r="L680" s="10">
        <v>5337.56</v>
      </c>
      <c r="M680" s="10">
        <v>7372.44</v>
      </c>
      <c r="N680" s="8" t="s">
        <v>21</v>
      </c>
      <c r="O680" s="8" t="s">
        <v>39</v>
      </c>
      <c r="P680" s="8" t="s">
        <v>40</v>
      </c>
      <c r="Q680" s="3">
        <f t="shared" si="11"/>
        <v>0.58005035405192762</v>
      </c>
      <c r="R680" s="8" t="str" cm="1">
        <f t="array" ref="R680">_xlfn.IFS(Q680&gt;40%,"Alta",Q680&gt;20%,"Média",Q680&lt;20%,"Baixa")</f>
        <v>Alta</v>
      </c>
    </row>
    <row r="681" spans="1:18" x14ac:dyDescent="0.25">
      <c r="A681" s="5">
        <v>668</v>
      </c>
      <c r="B681" s="6">
        <v>45728</v>
      </c>
      <c r="C681" s="8" t="s">
        <v>24</v>
      </c>
      <c r="D681" s="8" t="s">
        <v>17</v>
      </c>
      <c r="E681" s="8" t="s">
        <v>41</v>
      </c>
      <c r="F681" s="5">
        <v>9541</v>
      </c>
      <c r="G681" s="8" t="s">
        <v>26</v>
      </c>
      <c r="H681" s="8" t="s">
        <v>31</v>
      </c>
      <c r="I681" s="5">
        <v>12</v>
      </c>
      <c r="J681" s="10">
        <v>1058</v>
      </c>
      <c r="K681" s="10">
        <v>12696</v>
      </c>
      <c r="L681" s="10">
        <v>8564.93</v>
      </c>
      <c r="M681" s="10">
        <v>4131.07</v>
      </c>
      <c r="N681" s="8" t="s">
        <v>28</v>
      </c>
      <c r="O681" s="8" t="s">
        <v>22</v>
      </c>
      <c r="P681" s="8" t="s">
        <v>44</v>
      </c>
      <c r="Q681" s="3">
        <f t="shared" si="11"/>
        <v>0.32538358538122242</v>
      </c>
      <c r="R681" s="8" t="str" cm="1">
        <f t="array" ref="R681">_xlfn.IFS(Q681&gt;40%,"Alta",Q681&gt;20%,"Média",Q681&lt;20%,"Baixa")</f>
        <v>Média</v>
      </c>
    </row>
    <row r="682" spans="1:18" x14ac:dyDescent="0.25">
      <c r="A682" s="5">
        <v>919</v>
      </c>
      <c r="B682" s="6">
        <v>45838</v>
      </c>
      <c r="C682" s="8" t="s">
        <v>16</v>
      </c>
      <c r="D682" s="8" t="s">
        <v>45</v>
      </c>
      <c r="E682" s="8" t="s">
        <v>37</v>
      </c>
      <c r="F682" s="5">
        <v>2474</v>
      </c>
      <c r="G682" s="8" t="s">
        <v>26</v>
      </c>
      <c r="H682" s="8" t="s">
        <v>38</v>
      </c>
      <c r="I682" s="5">
        <v>6</v>
      </c>
      <c r="J682" s="10">
        <v>2114</v>
      </c>
      <c r="K682" s="10">
        <v>12684</v>
      </c>
      <c r="L682" s="10">
        <v>9144.26</v>
      </c>
      <c r="M682" s="10">
        <v>3539.74</v>
      </c>
      <c r="N682" s="8" t="s">
        <v>32</v>
      </c>
      <c r="O682" s="8" t="s">
        <v>22</v>
      </c>
      <c r="P682" s="8" t="s">
        <v>29</v>
      </c>
      <c r="Q682" s="3">
        <f t="shared" si="11"/>
        <v>0.27907127089246292</v>
      </c>
      <c r="R682" s="8" t="str" cm="1">
        <f t="array" ref="R682">_xlfn.IFS(Q682&gt;40%,"Alta",Q682&gt;20%,"Média",Q682&lt;20%,"Baixa")</f>
        <v>Média</v>
      </c>
    </row>
    <row r="683" spans="1:18" x14ac:dyDescent="0.25">
      <c r="A683" s="5">
        <v>250</v>
      </c>
      <c r="B683" s="6">
        <v>45717</v>
      </c>
      <c r="C683" s="8" t="s">
        <v>34</v>
      </c>
      <c r="D683" s="8" t="s">
        <v>45</v>
      </c>
      <c r="E683" s="8" t="s">
        <v>18</v>
      </c>
      <c r="F683" s="5">
        <v>2460</v>
      </c>
      <c r="G683" s="8" t="s">
        <v>19</v>
      </c>
      <c r="H683" s="8" t="s">
        <v>31</v>
      </c>
      <c r="I683" s="5">
        <v>7</v>
      </c>
      <c r="J683" s="10">
        <v>1811</v>
      </c>
      <c r="K683" s="10">
        <v>12677</v>
      </c>
      <c r="L683" s="10">
        <v>7003.05</v>
      </c>
      <c r="M683" s="10">
        <v>5673.95</v>
      </c>
      <c r="N683" s="8" t="s">
        <v>28</v>
      </c>
      <c r="O683" s="8" t="s">
        <v>33</v>
      </c>
      <c r="P683" s="8" t="s">
        <v>29</v>
      </c>
      <c r="Q683" s="3">
        <f t="shared" si="11"/>
        <v>0.4475782913938629</v>
      </c>
      <c r="R683" s="8" t="str" cm="1">
        <f t="array" ref="R683">_xlfn.IFS(Q683&gt;40%,"Alta",Q683&gt;20%,"Média",Q683&lt;20%,"Baixa")</f>
        <v>Alta</v>
      </c>
    </row>
    <row r="684" spans="1:18" x14ac:dyDescent="0.25">
      <c r="A684" s="5">
        <v>662</v>
      </c>
      <c r="B684" s="6">
        <v>45827</v>
      </c>
      <c r="C684" s="8" t="s">
        <v>16</v>
      </c>
      <c r="D684" s="8" t="s">
        <v>42</v>
      </c>
      <c r="E684" s="8" t="s">
        <v>18</v>
      </c>
      <c r="F684" s="5">
        <v>8828</v>
      </c>
      <c r="G684" s="8" t="s">
        <v>19</v>
      </c>
      <c r="H684" s="8" t="s">
        <v>20</v>
      </c>
      <c r="I684" s="5">
        <v>3</v>
      </c>
      <c r="J684" s="10">
        <v>4223</v>
      </c>
      <c r="K684" s="10">
        <v>12669</v>
      </c>
      <c r="L684" s="10">
        <v>8266.7999999999993</v>
      </c>
      <c r="M684" s="10">
        <v>4402.2</v>
      </c>
      <c r="N684" s="8" t="s">
        <v>32</v>
      </c>
      <c r="O684" s="8" t="s">
        <v>39</v>
      </c>
      <c r="P684" s="8" t="s">
        <v>23</v>
      </c>
      <c r="Q684" s="3">
        <f t="shared" si="11"/>
        <v>0.34747809614018471</v>
      </c>
      <c r="R684" s="8" t="str" cm="1">
        <f t="array" ref="R684">_xlfn.IFS(Q684&gt;40%,"Alta",Q684&gt;20%,"Média",Q684&lt;20%,"Baixa")</f>
        <v>Média</v>
      </c>
    </row>
    <row r="685" spans="1:18" x14ac:dyDescent="0.25">
      <c r="A685" s="5">
        <v>315</v>
      </c>
      <c r="B685" s="6">
        <v>45730</v>
      </c>
      <c r="C685" s="8" t="s">
        <v>16</v>
      </c>
      <c r="D685" s="8" t="s">
        <v>45</v>
      </c>
      <c r="E685" s="8" t="s">
        <v>41</v>
      </c>
      <c r="F685" s="5">
        <v>5619</v>
      </c>
      <c r="G685" s="8" t="s">
        <v>26</v>
      </c>
      <c r="H685" s="8" t="s">
        <v>31</v>
      </c>
      <c r="I685" s="5">
        <v>15</v>
      </c>
      <c r="J685" s="10">
        <v>844</v>
      </c>
      <c r="K685" s="10">
        <v>12660</v>
      </c>
      <c r="L685" s="10">
        <v>8994.07</v>
      </c>
      <c r="M685" s="10">
        <v>3665.93</v>
      </c>
      <c r="N685" s="8" t="s">
        <v>32</v>
      </c>
      <c r="O685" s="8" t="s">
        <v>22</v>
      </c>
      <c r="P685" s="8" t="s">
        <v>40</v>
      </c>
      <c r="Q685" s="3">
        <f t="shared" si="11"/>
        <v>0.28956793048973145</v>
      </c>
      <c r="R685" s="8" t="str" cm="1">
        <f t="array" ref="R685">_xlfn.IFS(Q685&gt;40%,"Alta",Q685&gt;20%,"Média",Q685&lt;20%,"Baixa")</f>
        <v>Média</v>
      </c>
    </row>
    <row r="686" spans="1:18" x14ac:dyDescent="0.25">
      <c r="A686" s="5">
        <v>330</v>
      </c>
      <c r="B686" s="6">
        <v>45758</v>
      </c>
      <c r="C686" s="8" t="s">
        <v>16</v>
      </c>
      <c r="D686" s="8" t="s">
        <v>35</v>
      </c>
      <c r="E686" s="8" t="s">
        <v>25</v>
      </c>
      <c r="F686" s="5">
        <v>4923</v>
      </c>
      <c r="G686" s="8" t="s">
        <v>19</v>
      </c>
      <c r="H686" s="8" t="s">
        <v>27</v>
      </c>
      <c r="I686" s="5">
        <v>15</v>
      </c>
      <c r="J686" s="10">
        <v>840</v>
      </c>
      <c r="K686" s="10">
        <v>12600</v>
      </c>
      <c r="L686" s="10">
        <v>8616.2099999999991</v>
      </c>
      <c r="M686" s="10">
        <v>3983.79</v>
      </c>
      <c r="N686" s="8" t="s">
        <v>32</v>
      </c>
      <c r="O686" s="8" t="s">
        <v>39</v>
      </c>
      <c r="P686" s="8" t="s">
        <v>29</v>
      </c>
      <c r="Q686" s="3">
        <f t="shared" si="11"/>
        <v>0.31617380952380952</v>
      </c>
      <c r="R686" s="8" t="str" cm="1">
        <f t="array" ref="R686">_xlfn.IFS(Q686&gt;40%,"Alta",Q686&gt;20%,"Média",Q686&lt;20%,"Baixa")</f>
        <v>Média</v>
      </c>
    </row>
    <row r="687" spans="1:18" x14ac:dyDescent="0.25">
      <c r="A687" s="5">
        <v>752</v>
      </c>
      <c r="B687" s="6">
        <v>45826</v>
      </c>
      <c r="C687" s="8" t="s">
        <v>47</v>
      </c>
      <c r="D687" s="8" t="s">
        <v>30</v>
      </c>
      <c r="E687" s="8" t="s">
        <v>41</v>
      </c>
      <c r="F687" s="5">
        <v>1269</v>
      </c>
      <c r="G687" s="8" t="s">
        <v>19</v>
      </c>
      <c r="H687" s="8" t="s">
        <v>38</v>
      </c>
      <c r="I687" s="5">
        <v>13</v>
      </c>
      <c r="J687" s="10">
        <v>969</v>
      </c>
      <c r="K687" s="10">
        <v>12597</v>
      </c>
      <c r="L687" s="10">
        <v>8888.8799999999992</v>
      </c>
      <c r="M687" s="10">
        <v>3708.12</v>
      </c>
      <c r="N687" s="8" t="s">
        <v>21</v>
      </c>
      <c r="O687" s="8" t="s">
        <v>33</v>
      </c>
      <c r="P687" s="8" t="s">
        <v>44</v>
      </c>
      <c r="Q687" s="3">
        <f t="shared" si="11"/>
        <v>0.29436532507739938</v>
      </c>
      <c r="R687" s="8" t="str" cm="1">
        <f t="array" ref="R687">_xlfn.IFS(Q687&gt;40%,"Alta",Q687&gt;20%,"Média",Q687&lt;20%,"Baixa")</f>
        <v>Média</v>
      </c>
    </row>
    <row r="688" spans="1:18" x14ac:dyDescent="0.25">
      <c r="A688" s="5">
        <v>794</v>
      </c>
      <c r="B688" s="6">
        <v>45806</v>
      </c>
      <c r="C688" s="8" t="s">
        <v>24</v>
      </c>
      <c r="D688" s="8" t="s">
        <v>45</v>
      </c>
      <c r="E688" s="8" t="s">
        <v>18</v>
      </c>
      <c r="F688" s="5">
        <v>4723</v>
      </c>
      <c r="G688" s="8" t="s">
        <v>19</v>
      </c>
      <c r="H688" s="8" t="s">
        <v>43</v>
      </c>
      <c r="I688" s="5">
        <v>6</v>
      </c>
      <c r="J688" s="10">
        <v>2096</v>
      </c>
      <c r="K688" s="10">
        <v>12576</v>
      </c>
      <c r="L688" s="10">
        <v>8529.2000000000007</v>
      </c>
      <c r="M688" s="10">
        <v>4046.8</v>
      </c>
      <c r="N688" s="8" t="s">
        <v>28</v>
      </c>
      <c r="O688" s="8" t="s">
        <v>39</v>
      </c>
      <c r="P688" s="8" t="s">
        <v>23</v>
      </c>
      <c r="Q688" s="3">
        <f t="shared" si="11"/>
        <v>0.32178753180661579</v>
      </c>
      <c r="R688" s="8" t="str" cm="1">
        <f t="array" ref="R688">_xlfn.IFS(Q688&gt;40%,"Alta",Q688&gt;20%,"Média",Q688&lt;20%,"Baixa")</f>
        <v>Média</v>
      </c>
    </row>
    <row r="689" spans="1:18" x14ac:dyDescent="0.25">
      <c r="A689" s="5">
        <v>631</v>
      </c>
      <c r="B689" s="6">
        <v>45725</v>
      </c>
      <c r="C689" s="8" t="s">
        <v>47</v>
      </c>
      <c r="D689" s="8" t="s">
        <v>17</v>
      </c>
      <c r="E689" s="8" t="s">
        <v>18</v>
      </c>
      <c r="F689" s="5">
        <v>8728</v>
      </c>
      <c r="G689" s="8" t="s">
        <v>36</v>
      </c>
      <c r="H689" s="8" t="s">
        <v>38</v>
      </c>
      <c r="I689" s="5">
        <v>5</v>
      </c>
      <c r="J689" s="10">
        <v>2508</v>
      </c>
      <c r="K689" s="10">
        <v>12540</v>
      </c>
      <c r="L689" s="10">
        <v>8639.25</v>
      </c>
      <c r="M689" s="10">
        <v>3900.75</v>
      </c>
      <c r="N689" s="8" t="s">
        <v>32</v>
      </c>
      <c r="O689" s="8" t="s">
        <v>22</v>
      </c>
      <c r="P689" s="8" t="s">
        <v>29</v>
      </c>
      <c r="Q689" s="3">
        <f t="shared" si="11"/>
        <v>0.31106459330143543</v>
      </c>
      <c r="R689" s="8" t="str" cm="1">
        <f t="array" ref="R689">_xlfn.IFS(Q689&gt;40%,"Alta",Q689&gt;20%,"Média",Q689&lt;20%,"Baixa")</f>
        <v>Média</v>
      </c>
    </row>
    <row r="690" spans="1:18" x14ac:dyDescent="0.25">
      <c r="A690" s="5">
        <v>475</v>
      </c>
      <c r="B690" s="6">
        <v>45723</v>
      </c>
      <c r="C690" s="8" t="s">
        <v>16</v>
      </c>
      <c r="D690" s="8" t="s">
        <v>17</v>
      </c>
      <c r="E690" s="8" t="s">
        <v>18</v>
      </c>
      <c r="F690" s="5">
        <v>7304</v>
      </c>
      <c r="G690" s="8" t="s">
        <v>36</v>
      </c>
      <c r="H690" s="8" t="s">
        <v>31</v>
      </c>
      <c r="I690" s="5">
        <v>4</v>
      </c>
      <c r="J690" s="10">
        <v>3113</v>
      </c>
      <c r="K690" s="10">
        <v>12452</v>
      </c>
      <c r="L690" s="10">
        <v>6978.78</v>
      </c>
      <c r="M690" s="10">
        <v>5473.22</v>
      </c>
      <c r="N690" s="8" t="s">
        <v>32</v>
      </c>
      <c r="O690" s="8" t="s">
        <v>39</v>
      </c>
      <c r="P690" s="8" t="s">
        <v>40</v>
      </c>
      <c r="Q690" s="3">
        <f t="shared" si="11"/>
        <v>0.43954545454545457</v>
      </c>
      <c r="R690" s="8" t="str" cm="1">
        <f t="array" ref="R690">_xlfn.IFS(Q690&gt;40%,"Alta",Q690&gt;20%,"Média",Q690&lt;20%,"Baixa")</f>
        <v>Alta</v>
      </c>
    </row>
    <row r="691" spans="1:18" x14ac:dyDescent="0.25">
      <c r="A691" s="5">
        <v>554</v>
      </c>
      <c r="B691" s="6">
        <v>45742</v>
      </c>
      <c r="C691" s="8" t="s">
        <v>34</v>
      </c>
      <c r="D691" s="8" t="s">
        <v>35</v>
      </c>
      <c r="E691" s="8" t="s">
        <v>37</v>
      </c>
      <c r="F691" s="5">
        <v>2440</v>
      </c>
      <c r="G691" s="8" t="s">
        <v>26</v>
      </c>
      <c r="H691" s="8" t="s">
        <v>38</v>
      </c>
      <c r="I691" s="5">
        <v>6</v>
      </c>
      <c r="J691" s="10">
        <v>2059</v>
      </c>
      <c r="K691" s="10">
        <v>12354</v>
      </c>
      <c r="L691" s="10">
        <v>5767.25</v>
      </c>
      <c r="M691" s="10">
        <v>6586.75</v>
      </c>
      <c r="N691" s="8" t="s">
        <v>21</v>
      </c>
      <c r="O691" s="8" t="s">
        <v>33</v>
      </c>
      <c r="P691" s="8" t="s">
        <v>44</v>
      </c>
      <c r="Q691" s="3">
        <f t="shared" si="11"/>
        <v>0.53316739517565159</v>
      </c>
      <c r="R691" s="8" t="str" cm="1">
        <f t="array" ref="R691">_xlfn.IFS(Q691&gt;40%,"Alta",Q691&gt;20%,"Média",Q691&lt;20%,"Baixa")</f>
        <v>Alta</v>
      </c>
    </row>
    <row r="692" spans="1:18" x14ac:dyDescent="0.25">
      <c r="A692" s="5">
        <v>323</v>
      </c>
      <c r="B692" s="6">
        <v>45659</v>
      </c>
      <c r="C692" s="8" t="s">
        <v>34</v>
      </c>
      <c r="D692" s="8" t="s">
        <v>45</v>
      </c>
      <c r="E692" s="8" t="s">
        <v>25</v>
      </c>
      <c r="F692" s="5">
        <v>1538</v>
      </c>
      <c r="G692" s="8" t="s">
        <v>26</v>
      </c>
      <c r="H692" s="8" t="s">
        <v>20</v>
      </c>
      <c r="I692" s="5">
        <v>3</v>
      </c>
      <c r="J692" s="10">
        <v>4072</v>
      </c>
      <c r="K692" s="10">
        <v>12216</v>
      </c>
      <c r="L692" s="10">
        <v>8871.4699999999993</v>
      </c>
      <c r="M692" s="10">
        <v>3344.53</v>
      </c>
      <c r="N692" s="8" t="s">
        <v>32</v>
      </c>
      <c r="O692" s="8" t="s">
        <v>33</v>
      </c>
      <c r="P692" s="8" t="s">
        <v>44</v>
      </c>
      <c r="Q692" s="3">
        <f t="shared" si="11"/>
        <v>0.27378274394237068</v>
      </c>
      <c r="R692" s="8" t="str" cm="1">
        <f t="array" ref="R692">_xlfn.IFS(Q692&gt;40%,"Alta",Q692&gt;20%,"Média",Q692&lt;20%,"Baixa")</f>
        <v>Média</v>
      </c>
    </row>
    <row r="693" spans="1:18" x14ac:dyDescent="0.25">
      <c r="A693" s="5">
        <v>228</v>
      </c>
      <c r="B693" s="6">
        <v>45817</v>
      </c>
      <c r="C693" s="8" t="s">
        <v>34</v>
      </c>
      <c r="D693" s="8" t="s">
        <v>17</v>
      </c>
      <c r="E693" s="8" t="s">
        <v>18</v>
      </c>
      <c r="F693" s="5">
        <v>3740</v>
      </c>
      <c r="G693" s="8" t="s">
        <v>26</v>
      </c>
      <c r="H693" s="8" t="s">
        <v>31</v>
      </c>
      <c r="I693" s="5">
        <v>7</v>
      </c>
      <c r="J693" s="10">
        <v>1725</v>
      </c>
      <c r="K693" s="10">
        <v>12075</v>
      </c>
      <c r="L693" s="10">
        <v>6759.99</v>
      </c>
      <c r="M693" s="10">
        <v>5315.01</v>
      </c>
      <c r="N693" s="8" t="s">
        <v>28</v>
      </c>
      <c r="O693" s="8" t="s">
        <v>33</v>
      </c>
      <c r="P693" s="8" t="s">
        <v>23</v>
      </c>
      <c r="Q693" s="3">
        <f t="shared" si="11"/>
        <v>0.4401664596273292</v>
      </c>
      <c r="R693" s="8" t="str" cm="1">
        <f t="array" ref="R693">_xlfn.IFS(Q693&gt;40%,"Alta",Q693&gt;20%,"Média",Q693&lt;20%,"Baixa")</f>
        <v>Alta</v>
      </c>
    </row>
    <row r="694" spans="1:18" x14ac:dyDescent="0.25">
      <c r="A694" s="5">
        <v>596</v>
      </c>
      <c r="B694" s="6">
        <v>45810</v>
      </c>
      <c r="C694" s="8" t="s">
        <v>34</v>
      </c>
      <c r="D694" s="8" t="s">
        <v>17</v>
      </c>
      <c r="E694" s="8" t="s">
        <v>41</v>
      </c>
      <c r="F694" s="5">
        <v>6483</v>
      </c>
      <c r="G694" s="8" t="s">
        <v>36</v>
      </c>
      <c r="H694" s="8" t="s">
        <v>27</v>
      </c>
      <c r="I694" s="5">
        <v>3</v>
      </c>
      <c r="J694" s="10">
        <v>4013</v>
      </c>
      <c r="K694" s="10">
        <v>12039</v>
      </c>
      <c r="L694" s="10">
        <v>6144.94</v>
      </c>
      <c r="M694" s="10">
        <v>5894.06</v>
      </c>
      <c r="N694" s="8" t="s">
        <v>28</v>
      </c>
      <c r="O694" s="8" t="s">
        <v>22</v>
      </c>
      <c r="P694" s="8" t="s">
        <v>44</v>
      </c>
      <c r="Q694" s="3">
        <f t="shared" si="11"/>
        <v>0.48958052994434759</v>
      </c>
      <c r="R694" s="8" t="str" cm="1">
        <f t="array" ref="R694">_xlfn.IFS(Q694&gt;40%,"Alta",Q694&gt;20%,"Média",Q694&lt;20%,"Baixa")</f>
        <v>Alta</v>
      </c>
    </row>
    <row r="695" spans="1:18" x14ac:dyDescent="0.25">
      <c r="A695" s="5">
        <v>427</v>
      </c>
      <c r="B695" s="6">
        <v>45664</v>
      </c>
      <c r="C695" s="8" t="s">
        <v>16</v>
      </c>
      <c r="D695" s="8" t="s">
        <v>45</v>
      </c>
      <c r="E695" s="8" t="s">
        <v>41</v>
      </c>
      <c r="F695" s="5">
        <v>7476</v>
      </c>
      <c r="G695" s="8" t="s">
        <v>26</v>
      </c>
      <c r="H695" s="8" t="s">
        <v>27</v>
      </c>
      <c r="I695" s="5">
        <v>3</v>
      </c>
      <c r="J695" s="10">
        <v>3981</v>
      </c>
      <c r="K695" s="10">
        <v>11943</v>
      </c>
      <c r="L695" s="10">
        <v>7571.65</v>
      </c>
      <c r="M695" s="10">
        <v>4371.3500000000004</v>
      </c>
      <c r="N695" s="8" t="s">
        <v>21</v>
      </c>
      <c r="O695" s="8" t="s">
        <v>33</v>
      </c>
      <c r="P695" s="8" t="s">
        <v>23</v>
      </c>
      <c r="Q695" s="3">
        <f t="shared" si="11"/>
        <v>0.36601775098383993</v>
      </c>
      <c r="R695" s="8" t="str" cm="1">
        <f t="array" ref="R695">_xlfn.IFS(Q695&gt;40%,"Alta",Q695&gt;20%,"Média",Q695&lt;20%,"Baixa")</f>
        <v>Média</v>
      </c>
    </row>
    <row r="696" spans="1:18" x14ac:dyDescent="0.25">
      <c r="A696" s="5">
        <v>387</v>
      </c>
      <c r="B696" s="6">
        <v>45746</v>
      </c>
      <c r="C696" s="8" t="s">
        <v>24</v>
      </c>
      <c r="D696" s="8" t="s">
        <v>17</v>
      </c>
      <c r="E696" s="8" t="s">
        <v>25</v>
      </c>
      <c r="F696" s="5">
        <v>2761</v>
      </c>
      <c r="G696" s="8" t="s">
        <v>26</v>
      </c>
      <c r="H696" s="8" t="s">
        <v>38</v>
      </c>
      <c r="I696" s="5">
        <v>3</v>
      </c>
      <c r="J696" s="10">
        <v>3955</v>
      </c>
      <c r="K696" s="10">
        <v>11865</v>
      </c>
      <c r="L696" s="10">
        <v>8690.2999999999993</v>
      </c>
      <c r="M696" s="10">
        <v>3174.7</v>
      </c>
      <c r="N696" s="8" t="s">
        <v>28</v>
      </c>
      <c r="O696" s="8" t="s">
        <v>39</v>
      </c>
      <c r="P696" s="8" t="s">
        <v>23</v>
      </c>
      <c r="Q696" s="3">
        <f t="shared" si="11"/>
        <v>0.2675684787189212</v>
      </c>
      <c r="R696" s="8" t="str" cm="1">
        <f t="array" ref="R696">_xlfn.IFS(Q696&gt;40%,"Alta",Q696&gt;20%,"Média",Q696&lt;20%,"Baixa")</f>
        <v>Média</v>
      </c>
    </row>
    <row r="697" spans="1:18" x14ac:dyDescent="0.25">
      <c r="A697" s="5">
        <v>814</v>
      </c>
      <c r="B697" s="6">
        <v>45786</v>
      </c>
      <c r="C697" s="8" t="s">
        <v>34</v>
      </c>
      <c r="D697" s="8" t="s">
        <v>35</v>
      </c>
      <c r="E697" s="8" t="s">
        <v>18</v>
      </c>
      <c r="F697" s="5">
        <v>2585</v>
      </c>
      <c r="G697" s="8" t="s">
        <v>36</v>
      </c>
      <c r="H697" s="8" t="s">
        <v>27</v>
      </c>
      <c r="I697" s="5">
        <v>15</v>
      </c>
      <c r="J697" s="10">
        <v>787</v>
      </c>
      <c r="K697" s="10">
        <v>11805</v>
      </c>
      <c r="L697" s="10">
        <v>7768.39</v>
      </c>
      <c r="M697" s="10">
        <v>4036.61</v>
      </c>
      <c r="N697" s="8" t="s">
        <v>21</v>
      </c>
      <c r="O697" s="8" t="s">
        <v>22</v>
      </c>
      <c r="P697" s="8" t="s">
        <v>44</v>
      </c>
      <c r="Q697" s="3">
        <f t="shared" si="11"/>
        <v>0.34194070309191021</v>
      </c>
      <c r="R697" s="8" t="str" cm="1">
        <f t="array" ref="R697">_xlfn.IFS(Q697&gt;40%,"Alta",Q697&gt;20%,"Média",Q697&lt;20%,"Baixa")</f>
        <v>Média</v>
      </c>
    </row>
    <row r="698" spans="1:18" x14ac:dyDescent="0.25">
      <c r="A698" s="5">
        <v>566</v>
      </c>
      <c r="B698" s="6">
        <v>45833</v>
      </c>
      <c r="C698" s="8" t="s">
        <v>47</v>
      </c>
      <c r="D698" s="8" t="s">
        <v>35</v>
      </c>
      <c r="E698" s="8" t="s">
        <v>37</v>
      </c>
      <c r="F698" s="5">
        <v>9030</v>
      </c>
      <c r="G698" s="8" t="s">
        <v>36</v>
      </c>
      <c r="H698" s="8" t="s">
        <v>31</v>
      </c>
      <c r="I698" s="5">
        <v>3</v>
      </c>
      <c r="J698" s="10">
        <v>3931</v>
      </c>
      <c r="K698" s="10">
        <v>11793</v>
      </c>
      <c r="L698" s="10">
        <v>4919.17</v>
      </c>
      <c r="M698" s="10">
        <v>6873.83</v>
      </c>
      <c r="N698" s="8" t="s">
        <v>21</v>
      </c>
      <c r="O698" s="8" t="s">
        <v>22</v>
      </c>
      <c r="P698" s="8" t="s">
        <v>46</v>
      </c>
      <c r="Q698" s="3">
        <f t="shared" si="11"/>
        <v>0.58287373865852621</v>
      </c>
      <c r="R698" s="8" t="str" cm="1">
        <f t="array" ref="R698">_xlfn.IFS(Q698&gt;40%,"Alta",Q698&gt;20%,"Média",Q698&lt;20%,"Baixa")</f>
        <v>Alta</v>
      </c>
    </row>
    <row r="699" spans="1:18" x14ac:dyDescent="0.25">
      <c r="A699" s="5">
        <v>917</v>
      </c>
      <c r="B699" s="6">
        <v>45701</v>
      </c>
      <c r="C699" s="8" t="s">
        <v>47</v>
      </c>
      <c r="D699" s="8" t="s">
        <v>30</v>
      </c>
      <c r="E699" s="8" t="s">
        <v>25</v>
      </c>
      <c r="F699" s="5">
        <v>8535</v>
      </c>
      <c r="G699" s="8" t="s">
        <v>26</v>
      </c>
      <c r="H699" s="8" t="s">
        <v>38</v>
      </c>
      <c r="I699" s="5">
        <v>4</v>
      </c>
      <c r="J699" s="10">
        <v>2937</v>
      </c>
      <c r="K699" s="10">
        <v>11748</v>
      </c>
      <c r="L699" s="10">
        <v>5089.68</v>
      </c>
      <c r="M699" s="10">
        <v>6658.32</v>
      </c>
      <c r="N699" s="8" t="s">
        <v>21</v>
      </c>
      <c r="O699" s="8" t="s">
        <v>33</v>
      </c>
      <c r="P699" s="8" t="s">
        <v>23</v>
      </c>
      <c r="Q699" s="3">
        <f t="shared" si="11"/>
        <v>0.56676200204290095</v>
      </c>
      <c r="R699" s="8" t="str" cm="1">
        <f t="array" ref="R699">_xlfn.IFS(Q699&gt;40%,"Alta",Q699&gt;20%,"Média",Q699&lt;20%,"Baixa")</f>
        <v>Alta</v>
      </c>
    </row>
    <row r="700" spans="1:18" x14ac:dyDescent="0.25">
      <c r="A700" s="5">
        <v>147</v>
      </c>
      <c r="B700" s="6">
        <v>45805</v>
      </c>
      <c r="C700" s="8" t="s">
        <v>16</v>
      </c>
      <c r="D700" s="8" t="s">
        <v>45</v>
      </c>
      <c r="E700" s="8" t="s">
        <v>41</v>
      </c>
      <c r="F700" s="5">
        <v>6452</v>
      </c>
      <c r="G700" s="8" t="s">
        <v>36</v>
      </c>
      <c r="H700" s="8" t="s">
        <v>27</v>
      </c>
      <c r="I700" s="5">
        <v>8</v>
      </c>
      <c r="J700" s="10">
        <v>1466</v>
      </c>
      <c r="K700" s="10">
        <v>11728</v>
      </c>
      <c r="L700" s="10">
        <v>9359.08</v>
      </c>
      <c r="M700" s="10">
        <v>2368.92</v>
      </c>
      <c r="N700" s="8" t="s">
        <v>32</v>
      </c>
      <c r="O700" s="8" t="s">
        <v>39</v>
      </c>
      <c r="P700" s="8" t="s">
        <v>23</v>
      </c>
      <c r="Q700" s="3">
        <f t="shared" si="11"/>
        <v>0.20198840381991814</v>
      </c>
      <c r="R700" s="8" t="str" cm="1">
        <f t="array" ref="R700">_xlfn.IFS(Q700&gt;40%,"Alta",Q700&gt;20%,"Média",Q700&lt;20%,"Baixa")</f>
        <v>Média</v>
      </c>
    </row>
    <row r="701" spans="1:18" x14ac:dyDescent="0.25">
      <c r="A701" s="5">
        <v>55</v>
      </c>
      <c r="B701" s="6">
        <v>45761</v>
      </c>
      <c r="C701" s="8" t="s">
        <v>34</v>
      </c>
      <c r="D701" s="8" t="s">
        <v>45</v>
      </c>
      <c r="E701" s="8" t="s">
        <v>18</v>
      </c>
      <c r="F701" s="5">
        <v>4517</v>
      </c>
      <c r="G701" s="8" t="s">
        <v>36</v>
      </c>
      <c r="H701" s="8" t="s">
        <v>31</v>
      </c>
      <c r="I701" s="5">
        <v>3</v>
      </c>
      <c r="J701" s="10">
        <v>3892</v>
      </c>
      <c r="K701" s="10">
        <v>11676</v>
      </c>
      <c r="L701" s="10">
        <v>5371.52</v>
      </c>
      <c r="M701" s="10">
        <v>6304.48</v>
      </c>
      <c r="N701" s="8" t="s">
        <v>32</v>
      </c>
      <c r="O701" s="8" t="s">
        <v>22</v>
      </c>
      <c r="P701" s="8" t="s">
        <v>44</v>
      </c>
      <c r="Q701" s="3">
        <f t="shared" si="11"/>
        <v>0.5399520383693045</v>
      </c>
      <c r="R701" s="8" t="str" cm="1">
        <f t="array" ref="R701">_xlfn.IFS(Q701&gt;40%,"Alta",Q701&gt;20%,"Média",Q701&lt;20%,"Baixa")</f>
        <v>Alta</v>
      </c>
    </row>
    <row r="702" spans="1:18" x14ac:dyDescent="0.25">
      <c r="A702" s="5">
        <v>698</v>
      </c>
      <c r="B702" s="6">
        <v>45692</v>
      </c>
      <c r="C702" s="8" t="s">
        <v>24</v>
      </c>
      <c r="D702" s="8" t="s">
        <v>35</v>
      </c>
      <c r="E702" s="8" t="s">
        <v>25</v>
      </c>
      <c r="F702" s="5">
        <v>7745</v>
      </c>
      <c r="G702" s="8" t="s">
        <v>36</v>
      </c>
      <c r="H702" s="8" t="s">
        <v>27</v>
      </c>
      <c r="I702" s="5">
        <v>5</v>
      </c>
      <c r="J702" s="10">
        <v>2316</v>
      </c>
      <c r="K702" s="10">
        <v>11580</v>
      </c>
      <c r="L702" s="10">
        <v>7412.78</v>
      </c>
      <c r="M702" s="10">
        <v>4167.22</v>
      </c>
      <c r="N702" s="8" t="s">
        <v>21</v>
      </c>
      <c r="O702" s="8" t="s">
        <v>39</v>
      </c>
      <c r="P702" s="8" t="s">
        <v>40</v>
      </c>
      <c r="Q702" s="3">
        <f t="shared" si="11"/>
        <v>0.35986355785837654</v>
      </c>
      <c r="R702" s="8" t="str" cm="1">
        <f t="array" ref="R702">_xlfn.IFS(Q702&gt;40%,"Alta",Q702&gt;20%,"Média",Q702&lt;20%,"Baixa")</f>
        <v>Média</v>
      </c>
    </row>
    <row r="703" spans="1:18" x14ac:dyDescent="0.25">
      <c r="A703" s="5">
        <v>421</v>
      </c>
      <c r="B703" s="6">
        <v>45723</v>
      </c>
      <c r="C703" s="8" t="s">
        <v>34</v>
      </c>
      <c r="D703" s="8" t="s">
        <v>42</v>
      </c>
      <c r="E703" s="8" t="s">
        <v>37</v>
      </c>
      <c r="F703" s="5">
        <v>9854</v>
      </c>
      <c r="G703" s="8" t="s">
        <v>19</v>
      </c>
      <c r="H703" s="8" t="s">
        <v>27</v>
      </c>
      <c r="I703" s="5">
        <v>9</v>
      </c>
      <c r="J703" s="10">
        <v>1285</v>
      </c>
      <c r="K703" s="10">
        <v>11565</v>
      </c>
      <c r="L703" s="10">
        <v>5090.3900000000003</v>
      </c>
      <c r="M703" s="10">
        <v>6474.61</v>
      </c>
      <c r="N703" s="8" t="s">
        <v>28</v>
      </c>
      <c r="O703" s="8" t="s">
        <v>33</v>
      </c>
      <c r="P703" s="8" t="s">
        <v>40</v>
      </c>
      <c r="Q703" s="3">
        <f t="shared" si="11"/>
        <v>0.55984522265456116</v>
      </c>
      <c r="R703" s="8" t="str" cm="1">
        <f t="array" ref="R703">_xlfn.IFS(Q703&gt;40%,"Alta",Q703&gt;20%,"Média",Q703&lt;20%,"Baixa")</f>
        <v>Alta</v>
      </c>
    </row>
    <row r="704" spans="1:18" x14ac:dyDescent="0.25">
      <c r="A704" s="5">
        <v>75</v>
      </c>
      <c r="B704" s="6">
        <v>45744</v>
      </c>
      <c r="C704" s="8" t="s">
        <v>34</v>
      </c>
      <c r="D704" s="8" t="s">
        <v>35</v>
      </c>
      <c r="E704" s="8" t="s">
        <v>37</v>
      </c>
      <c r="F704" s="5">
        <v>8285</v>
      </c>
      <c r="G704" s="8" t="s">
        <v>36</v>
      </c>
      <c r="H704" s="8" t="s">
        <v>43</v>
      </c>
      <c r="I704" s="5">
        <v>10</v>
      </c>
      <c r="J704" s="10">
        <v>1151</v>
      </c>
      <c r="K704" s="10">
        <v>11510</v>
      </c>
      <c r="L704" s="10">
        <v>6619.31</v>
      </c>
      <c r="M704" s="10">
        <v>4890.6899999999996</v>
      </c>
      <c r="N704" s="8" t="s">
        <v>28</v>
      </c>
      <c r="O704" s="8" t="s">
        <v>33</v>
      </c>
      <c r="P704" s="8" t="s">
        <v>46</v>
      </c>
      <c r="Q704" s="3">
        <f t="shared" si="11"/>
        <v>0.42490790616854907</v>
      </c>
      <c r="R704" s="8" t="str" cm="1">
        <f t="array" ref="R704">_xlfn.IFS(Q704&gt;40%,"Alta",Q704&gt;20%,"Média",Q704&lt;20%,"Baixa")</f>
        <v>Alta</v>
      </c>
    </row>
    <row r="705" spans="1:18" x14ac:dyDescent="0.25">
      <c r="A705" s="5">
        <v>582</v>
      </c>
      <c r="B705" s="6">
        <v>45748</v>
      </c>
      <c r="C705" s="8" t="s">
        <v>16</v>
      </c>
      <c r="D705" s="8" t="s">
        <v>35</v>
      </c>
      <c r="E705" s="8" t="s">
        <v>37</v>
      </c>
      <c r="F705" s="5">
        <v>7175</v>
      </c>
      <c r="G705" s="8" t="s">
        <v>36</v>
      </c>
      <c r="H705" s="8" t="s">
        <v>31</v>
      </c>
      <c r="I705" s="5">
        <v>5</v>
      </c>
      <c r="J705" s="10">
        <v>2300</v>
      </c>
      <c r="K705" s="10">
        <v>11500</v>
      </c>
      <c r="L705" s="10">
        <v>5062.26</v>
      </c>
      <c r="M705" s="10">
        <v>6437.74</v>
      </c>
      <c r="N705" s="8" t="s">
        <v>32</v>
      </c>
      <c r="O705" s="8" t="s">
        <v>33</v>
      </c>
      <c r="P705" s="8" t="s">
        <v>23</v>
      </c>
      <c r="Q705" s="3">
        <f t="shared" si="11"/>
        <v>0.55980347826086951</v>
      </c>
      <c r="R705" s="8" t="str" cm="1">
        <f t="array" ref="R705">_xlfn.IFS(Q705&gt;40%,"Alta",Q705&gt;20%,"Média",Q705&lt;20%,"Baixa")</f>
        <v>Alta</v>
      </c>
    </row>
    <row r="706" spans="1:18" x14ac:dyDescent="0.25">
      <c r="A706" s="5">
        <v>542</v>
      </c>
      <c r="B706" s="6">
        <v>45659</v>
      </c>
      <c r="C706" s="8" t="s">
        <v>34</v>
      </c>
      <c r="D706" s="8" t="s">
        <v>42</v>
      </c>
      <c r="E706" s="8" t="s">
        <v>41</v>
      </c>
      <c r="F706" s="5">
        <v>6779</v>
      </c>
      <c r="G706" s="8" t="s">
        <v>36</v>
      </c>
      <c r="H706" s="8" t="s">
        <v>31</v>
      </c>
      <c r="I706" s="5">
        <v>14</v>
      </c>
      <c r="J706" s="10">
        <v>821</v>
      </c>
      <c r="K706" s="10">
        <v>11494</v>
      </c>
      <c r="L706" s="10">
        <v>7589.43</v>
      </c>
      <c r="M706" s="10">
        <v>3904.57</v>
      </c>
      <c r="N706" s="8" t="s">
        <v>28</v>
      </c>
      <c r="O706" s="8" t="s">
        <v>22</v>
      </c>
      <c r="P706" s="8" t="s">
        <v>46</v>
      </c>
      <c r="Q706" s="3">
        <f t="shared" ref="Q706:Q769" si="12">M706/K706</f>
        <v>0.33970506351139729</v>
      </c>
      <c r="R706" s="8" t="str" cm="1">
        <f t="array" ref="R706">_xlfn.IFS(Q706&gt;40%,"Alta",Q706&gt;20%,"Média",Q706&lt;20%,"Baixa")</f>
        <v>Média</v>
      </c>
    </row>
    <row r="707" spans="1:18" x14ac:dyDescent="0.25">
      <c r="A707" s="5">
        <v>335</v>
      </c>
      <c r="B707" s="6">
        <v>45817</v>
      </c>
      <c r="C707" s="8" t="s">
        <v>24</v>
      </c>
      <c r="D707" s="8" t="s">
        <v>17</v>
      </c>
      <c r="E707" s="8" t="s">
        <v>37</v>
      </c>
      <c r="F707" s="5">
        <v>5526</v>
      </c>
      <c r="G707" s="8" t="s">
        <v>19</v>
      </c>
      <c r="H707" s="8" t="s">
        <v>31</v>
      </c>
      <c r="I707" s="5">
        <v>9</v>
      </c>
      <c r="J707" s="10">
        <v>1267</v>
      </c>
      <c r="K707" s="10">
        <v>11403</v>
      </c>
      <c r="L707" s="10">
        <v>8712.91</v>
      </c>
      <c r="M707" s="10">
        <v>2690.09</v>
      </c>
      <c r="N707" s="8" t="s">
        <v>32</v>
      </c>
      <c r="O707" s="8" t="s">
        <v>22</v>
      </c>
      <c r="P707" s="8" t="s">
        <v>46</v>
      </c>
      <c r="Q707" s="3">
        <f t="shared" si="12"/>
        <v>0.23591072524774184</v>
      </c>
      <c r="R707" s="8" t="str" cm="1">
        <f t="array" ref="R707">_xlfn.IFS(Q707&gt;40%,"Alta",Q707&gt;20%,"Média",Q707&lt;20%,"Baixa")</f>
        <v>Média</v>
      </c>
    </row>
    <row r="708" spans="1:18" x14ac:dyDescent="0.25">
      <c r="A708" s="5">
        <v>380</v>
      </c>
      <c r="B708" s="6">
        <v>45820</v>
      </c>
      <c r="C708" s="8" t="s">
        <v>16</v>
      </c>
      <c r="D708" s="8" t="s">
        <v>17</v>
      </c>
      <c r="E708" s="8" t="s">
        <v>25</v>
      </c>
      <c r="F708" s="5">
        <v>6530</v>
      </c>
      <c r="G708" s="8" t="s">
        <v>26</v>
      </c>
      <c r="H708" s="8" t="s">
        <v>31</v>
      </c>
      <c r="I708" s="5">
        <v>20</v>
      </c>
      <c r="J708" s="10">
        <v>567</v>
      </c>
      <c r="K708" s="10">
        <v>11340</v>
      </c>
      <c r="L708" s="10">
        <v>8505.16</v>
      </c>
      <c r="M708" s="10">
        <v>2834.84</v>
      </c>
      <c r="N708" s="8" t="s">
        <v>28</v>
      </c>
      <c r="O708" s="8" t="s">
        <v>22</v>
      </c>
      <c r="P708" s="8" t="s">
        <v>44</v>
      </c>
      <c r="Q708" s="3">
        <f t="shared" si="12"/>
        <v>0.24998589065255733</v>
      </c>
      <c r="R708" s="8" t="str" cm="1">
        <f t="array" ref="R708">_xlfn.IFS(Q708&gt;40%,"Alta",Q708&gt;20%,"Média",Q708&lt;20%,"Baixa")</f>
        <v>Média</v>
      </c>
    </row>
    <row r="709" spans="1:18" x14ac:dyDescent="0.25">
      <c r="A709" s="5">
        <v>911</v>
      </c>
      <c r="B709" s="6">
        <v>45796</v>
      </c>
      <c r="C709" s="8" t="s">
        <v>34</v>
      </c>
      <c r="D709" s="8" t="s">
        <v>30</v>
      </c>
      <c r="E709" s="8" t="s">
        <v>41</v>
      </c>
      <c r="F709" s="5">
        <v>9811</v>
      </c>
      <c r="G709" s="8" t="s">
        <v>19</v>
      </c>
      <c r="H709" s="8" t="s">
        <v>31</v>
      </c>
      <c r="I709" s="5">
        <v>13</v>
      </c>
      <c r="J709" s="10">
        <v>872</v>
      </c>
      <c r="K709" s="10">
        <v>11336</v>
      </c>
      <c r="L709" s="10">
        <v>9062.4</v>
      </c>
      <c r="M709" s="10">
        <v>2273.6</v>
      </c>
      <c r="N709" s="8" t="s">
        <v>28</v>
      </c>
      <c r="O709" s="8" t="s">
        <v>22</v>
      </c>
      <c r="P709" s="8" t="s">
        <v>46</v>
      </c>
      <c r="Q709" s="3">
        <f t="shared" si="12"/>
        <v>0.20056457304163725</v>
      </c>
      <c r="R709" s="8" t="str" cm="1">
        <f t="array" ref="R709">_xlfn.IFS(Q709&gt;40%,"Alta",Q709&gt;20%,"Média",Q709&lt;20%,"Baixa")</f>
        <v>Média</v>
      </c>
    </row>
    <row r="710" spans="1:18" x14ac:dyDescent="0.25">
      <c r="A710" s="5">
        <v>133</v>
      </c>
      <c r="B710" s="6">
        <v>45770</v>
      </c>
      <c r="C710" s="8" t="s">
        <v>47</v>
      </c>
      <c r="D710" s="8" t="s">
        <v>30</v>
      </c>
      <c r="E710" s="8" t="s">
        <v>18</v>
      </c>
      <c r="F710" s="5">
        <v>8372</v>
      </c>
      <c r="G710" s="8" t="s">
        <v>26</v>
      </c>
      <c r="H710" s="8" t="s">
        <v>43</v>
      </c>
      <c r="I710" s="5">
        <v>5</v>
      </c>
      <c r="J710" s="10">
        <v>2219</v>
      </c>
      <c r="K710" s="10">
        <v>11095</v>
      </c>
      <c r="L710" s="10">
        <v>5578.3</v>
      </c>
      <c r="M710" s="10">
        <v>5516.7</v>
      </c>
      <c r="N710" s="8" t="s">
        <v>28</v>
      </c>
      <c r="O710" s="8" t="s">
        <v>22</v>
      </c>
      <c r="P710" s="8" t="s">
        <v>40</v>
      </c>
      <c r="Q710" s="3">
        <f t="shared" si="12"/>
        <v>0.49722397476340691</v>
      </c>
      <c r="R710" s="8" t="str" cm="1">
        <f t="array" ref="R710">_xlfn.IFS(Q710&gt;40%,"Alta",Q710&gt;20%,"Média",Q710&lt;20%,"Baixa")</f>
        <v>Alta</v>
      </c>
    </row>
    <row r="711" spans="1:18" x14ac:dyDescent="0.25">
      <c r="A711" s="5">
        <v>713</v>
      </c>
      <c r="B711" s="6">
        <v>45733</v>
      </c>
      <c r="C711" s="8" t="s">
        <v>24</v>
      </c>
      <c r="D711" s="8" t="s">
        <v>45</v>
      </c>
      <c r="E711" s="8" t="s">
        <v>25</v>
      </c>
      <c r="F711" s="5">
        <v>3717</v>
      </c>
      <c r="G711" s="8" t="s">
        <v>19</v>
      </c>
      <c r="H711" s="8" t="s">
        <v>43</v>
      </c>
      <c r="I711" s="5">
        <v>9</v>
      </c>
      <c r="J711" s="10">
        <v>1226</v>
      </c>
      <c r="K711" s="10">
        <v>11034</v>
      </c>
      <c r="L711" s="10">
        <v>5657.27</v>
      </c>
      <c r="M711" s="10">
        <v>5376.73</v>
      </c>
      <c r="N711" s="8" t="s">
        <v>32</v>
      </c>
      <c r="O711" s="8" t="s">
        <v>39</v>
      </c>
      <c r="P711" s="8" t="s">
        <v>23</v>
      </c>
      <c r="Q711" s="3">
        <f t="shared" si="12"/>
        <v>0.48728747507703457</v>
      </c>
      <c r="R711" s="8" t="str" cm="1">
        <f t="array" ref="R711">_xlfn.IFS(Q711&gt;40%,"Alta",Q711&gt;20%,"Média",Q711&lt;20%,"Baixa")</f>
        <v>Alta</v>
      </c>
    </row>
    <row r="712" spans="1:18" x14ac:dyDescent="0.25">
      <c r="A712" s="5">
        <v>474</v>
      </c>
      <c r="B712" s="6">
        <v>45747</v>
      </c>
      <c r="C712" s="8" t="s">
        <v>24</v>
      </c>
      <c r="D712" s="8" t="s">
        <v>17</v>
      </c>
      <c r="E712" s="8" t="s">
        <v>41</v>
      </c>
      <c r="F712" s="5">
        <v>3542</v>
      </c>
      <c r="G712" s="8" t="s">
        <v>19</v>
      </c>
      <c r="H712" s="8" t="s">
        <v>43</v>
      </c>
      <c r="I712" s="5">
        <v>4</v>
      </c>
      <c r="J712" s="10">
        <v>2739</v>
      </c>
      <c r="K712" s="10">
        <v>10956</v>
      </c>
      <c r="L712" s="10">
        <v>5947.35</v>
      </c>
      <c r="M712" s="10">
        <v>5008.6499999999996</v>
      </c>
      <c r="N712" s="8" t="s">
        <v>28</v>
      </c>
      <c r="O712" s="8" t="s">
        <v>22</v>
      </c>
      <c r="P712" s="8" t="s">
        <v>44</v>
      </c>
      <c r="Q712" s="3">
        <f t="shared" si="12"/>
        <v>0.45716046002190575</v>
      </c>
      <c r="R712" s="8" t="str" cm="1">
        <f t="array" ref="R712">_xlfn.IFS(Q712&gt;40%,"Alta",Q712&gt;20%,"Média",Q712&lt;20%,"Baixa")</f>
        <v>Alta</v>
      </c>
    </row>
    <row r="713" spans="1:18" x14ac:dyDescent="0.25">
      <c r="A713" s="5">
        <v>751</v>
      </c>
      <c r="B713" s="6">
        <v>45802</v>
      </c>
      <c r="C713" s="8" t="s">
        <v>24</v>
      </c>
      <c r="D713" s="8" t="s">
        <v>45</v>
      </c>
      <c r="E713" s="8" t="s">
        <v>25</v>
      </c>
      <c r="F713" s="5">
        <v>4691</v>
      </c>
      <c r="G713" s="8" t="s">
        <v>26</v>
      </c>
      <c r="H713" s="8" t="s">
        <v>38</v>
      </c>
      <c r="I713" s="5">
        <v>11</v>
      </c>
      <c r="J713" s="10">
        <v>992</v>
      </c>
      <c r="K713" s="10">
        <v>10912</v>
      </c>
      <c r="L713" s="10">
        <v>5304.14</v>
      </c>
      <c r="M713" s="10">
        <v>5607.86</v>
      </c>
      <c r="N713" s="8" t="s">
        <v>21</v>
      </c>
      <c r="O713" s="8" t="s">
        <v>22</v>
      </c>
      <c r="P713" s="8" t="s">
        <v>40</v>
      </c>
      <c r="Q713" s="3">
        <f t="shared" si="12"/>
        <v>0.51391678885630498</v>
      </c>
      <c r="R713" s="8" t="str" cm="1">
        <f t="array" ref="R713">_xlfn.IFS(Q713&gt;40%,"Alta",Q713&gt;20%,"Média",Q713&lt;20%,"Baixa")</f>
        <v>Alta</v>
      </c>
    </row>
    <row r="714" spans="1:18" x14ac:dyDescent="0.25">
      <c r="A714" s="5">
        <v>896</v>
      </c>
      <c r="B714" s="6">
        <v>45692</v>
      </c>
      <c r="C714" s="8" t="s">
        <v>16</v>
      </c>
      <c r="D714" s="8" t="s">
        <v>30</v>
      </c>
      <c r="E714" s="8" t="s">
        <v>41</v>
      </c>
      <c r="F714" s="5">
        <v>7391</v>
      </c>
      <c r="G714" s="8" t="s">
        <v>19</v>
      </c>
      <c r="H714" s="8" t="s">
        <v>38</v>
      </c>
      <c r="I714" s="5">
        <v>8</v>
      </c>
      <c r="J714" s="10">
        <v>1364</v>
      </c>
      <c r="K714" s="10">
        <v>10912</v>
      </c>
      <c r="L714" s="10">
        <v>5244.52</v>
      </c>
      <c r="M714" s="10">
        <v>5667.48</v>
      </c>
      <c r="N714" s="8" t="s">
        <v>21</v>
      </c>
      <c r="O714" s="8" t="s">
        <v>39</v>
      </c>
      <c r="P714" s="8" t="s">
        <v>23</v>
      </c>
      <c r="Q714" s="3">
        <f t="shared" si="12"/>
        <v>0.51938049853372426</v>
      </c>
      <c r="R714" s="8" t="str" cm="1">
        <f t="array" ref="R714">_xlfn.IFS(Q714&gt;40%,"Alta",Q714&gt;20%,"Média",Q714&lt;20%,"Baixa")</f>
        <v>Alta</v>
      </c>
    </row>
    <row r="715" spans="1:18" x14ac:dyDescent="0.25">
      <c r="A715" s="5">
        <v>172</v>
      </c>
      <c r="B715" s="6">
        <v>45727</v>
      </c>
      <c r="C715" s="8" t="s">
        <v>47</v>
      </c>
      <c r="D715" s="8" t="s">
        <v>30</v>
      </c>
      <c r="E715" s="8" t="s">
        <v>18</v>
      </c>
      <c r="F715" s="5">
        <v>6657</v>
      </c>
      <c r="G715" s="8" t="s">
        <v>36</v>
      </c>
      <c r="H715" s="8" t="s">
        <v>38</v>
      </c>
      <c r="I715" s="5">
        <v>18</v>
      </c>
      <c r="J715" s="10">
        <v>602</v>
      </c>
      <c r="K715" s="10">
        <v>10836</v>
      </c>
      <c r="L715" s="10">
        <v>8121.76</v>
      </c>
      <c r="M715" s="10">
        <v>2714.24</v>
      </c>
      <c r="N715" s="8" t="s">
        <v>28</v>
      </c>
      <c r="O715" s="8" t="s">
        <v>33</v>
      </c>
      <c r="P715" s="8" t="s">
        <v>23</v>
      </c>
      <c r="Q715" s="3">
        <f t="shared" si="12"/>
        <v>0.25048357327427095</v>
      </c>
      <c r="R715" s="8" t="str" cm="1">
        <f t="array" ref="R715">_xlfn.IFS(Q715&gt;40%,"Alta",Q715&gt;20%,"Média",Q715&lt;20%,"Baixa")</f>
        <v>Média</v>
      </c>
    </row>
    <row r="716" spans="1:18" x14ac:dyDescent="0.25">
      <c r="A716" s="5">
        <v>898</v>
      </c>
      <c r="B716" s="6">
        <v>45733</v>
      </c>
      <c r="C716" s="8" t="s">
        <v>16</v>
      </c>
      <c r="D716" s="8" t="s">
        <v>42</v>
      </c>
      <c r="E716" s="8" t="s">
        <v>18</v>
      </c>
      <c r="F716" s="5">
        <v>9500</v>
      </c>
      <c r="G716" s="8" t="s">
        <v>36</v>
      </c>
      <c r="H716" s="8" t="s">
        <v>38</v>
      </c>
      <c r="I716" s="5">
        <v>6</v>
      </c>
      <c r="J716" s="10">
        <v>1806</v>
      </c>
      <c r="K716" s="10">
        <v>10836</v>
      </c>
      <c r="L716" s="10">
        <v>5034.78</v>
      </c>
      <c r="M716" s="10">
        <v>5801.22</v>
      </c>
      <c r="N716" s="8" t="s">
        <v>28</v>
      </c>
      <c r="O716" s="8" t="s">
        <v>22</v>
      </c>
      <c r="P716" s="8" t="s">
        <v>44</v>
      </c>
      <c r="Q716" s="3">
        <f t="shared" si="12"/>
        <v>0.53536544850498347</v>
      </c>
      <c r="R716" s="8" t="str" cm="1">
        <f t="array" ref="R716">_xlfn.IFS(Q716&gt;40%,"Alta",Q716&gt;20%,"Média",Q716&lt;20%,"Baixa")</f>
        <v>Alta</v>
      </c>
    </row>
    <row r="717" spans="1:18" x14ac:dyDescent="0.25">
      <c r="A717" s="5">
        <v>413</v>
      </c>
      <c r="B717" s="6">
        <v>45781</v>
      </c>
      <c r="C717" s="8" t="s">
        <v>34</v>
      </c>
      <c r="D717" s="8" t="s">
        <v>17</v>
      </c>
      <c r="E717" s="8" t="s">
        <v>18</v>
      </c>
      <c r="F717" s="5">
        <v>4635</v>
      </c>
      <c r="G717" s="8" t="s">
        <v>26</v>
      </c>
      <c r="H717" s="8" t="s">
        <v>20</v>
      </c>
      <c r="I717" s="5">
        <v>12</v>
      </c>
      <c r="J717" s="10">
        <v>898</v>
      </c>
      <c r="K717" s="10">
        <v>10776</v>
      </c>
      <c r="L717" s="10">
        <v>7402.68</v>
      </c>
      <c r="M717" s="10">
        <v>3373.32</v>
      </c>
      <c r="N717" s="8" t="s">
        <v>21</v>
      </c>
      <c r="O717" s="8" t="s">
        <v>39</v>
      </c>
      <c r="P717" s="8" t="s">
        <v>44</v>
      </c>
      <c r="Q717" s="3">
        <f t="shared" si="12"/>
        <v>0.31304008908685971</v>
      </c>
      <c r="R717" s="8" t="str" cm="1">
        <f t="array" ref="R717">_xlfn.IFS(Q717&gt;40%,"Alta",Q717&gt;20%,"Média",Q717&lt;20%,"Baixa")</f>
        <v>Média</v>
      </c>
    </row>
    <row r="718" spans="1:18" x14ac:dyDescent="0.25">
      <c r="A718" s="5">
        <v>30</v>
      </c>
      <c r="B718" s="6">
        <v>45745</v>
      </c>
      <c r="C718" s="8" t="s">
        <v>47</v>
      </c>
      <c r="D718" s="8" t="s">
        <v>30</v>
      </c>
      <c r="E718" s="8" t="s">
        <v>37</v>
      </c>
      <c r="F718" s="5">
        <v>7675</v>
      </c>
      <c r="G718" s="8" t="s">
        <v>36</v>
      </c>
      <c r="H718" s="8" t="s">
        <v>27</v>
      </c>
      <c r="I718" s="5">
        <v>15</v>
      </c>
      <c r="J718" s="10">
        <v>717</v>
      </c>
      <c r="K718" s="10">
        <v>10755</v>
      </c>
      <c r="L718" s="10">
        <v>8287.1299999999992</v>
      </c>
      <c r="M718" s="10">
        <v>2467.87</v>
      </c>
      <c r="N718" s="8" t="s">
        <v>21</v>
      </c>
      <c r="O718" s="8" t="s">
        <v>39</v>
      </c>
      <c r="P718" s="8" t="s">
        <v>29</v>
      </c>
      <c r="Q718" s="3">
        <f t="shared" si="12"/>
        <v>0.22946257554625754</v>
      </c>
      <c r="R718" s="8" t="str" cm="1">
        <f t="array" ref="R718">_xlfn.IFS(Q718&gt;40%,"Alta",Q718&gt;20%,"Média",Q718&lt;20%,"Baixa")</f>
        <v>Média</v>
      </c>
    </row>
    <row r="719" spans="1:18" x14ac:dyDescent="0.25">
      <c r="A719" s="5">
        <v>456</v>
      </c>
      <c r="B719" s="6">
        <v>45768</v>
      </c>
      <c r="C719" s="8" t="s">
        <v>16</v>
      </c>
      <c r="D719" s="8" t="s">
        <v>45</v>
      </c>
      <c r="E719" s="8" t="s">
        <v>41</v>
      </c>
      <c r="F719" s="5">
        <v>1598</v>
      </c>
      <c r="G719" s="8" t="s">
        <v>19</v>
      </c>
      <c r="H719" s="8" t="s">
        <v>38</v>
      </c>
      <c r="I719" s="5">
        <v>10</v>
      </c>
      <c r="J719" s="10">
        <v>1068</v>
      </c>
      <c r="K719" s="10">
        <v>10680</v>
      </c>
      <c r="L719" s="10">
        <v>7850.55</v>
      </c>
      <c r="M719" s="10">
        <v>2829.45</v>
      </c>
      <c r="N719" s="8" t="s">
        <v>32</v>
      </c>
      <c r="O719" s="8" t="s">
        <v>22</v>
      </c>
      <c r="P719" s="8" t="s">
        <v>29</v>
      </c>
      <c r="Q719" s="3">
        <f t="shared" si="12"/>
        <v>0.26492977528089884</v>
      </c>
      <c r="R719" s="8" t="str" cm="1">
        <f t="array" ref="R719">_xlfn.IFS(Q719&gt;40%,"Alta",Q719&gt;20%,"Média",Q719&lt;20%,"Baixa")</f>
        <v>Média</v>
      </c>
    </row>
    <row r="720" spans="1:18" x14ac:dyDescent="0.25">
      <c r="A720" s="5">
        <v>536</v>
      </c>
      <c r="B720" s="6">
        <v>45681</v>
      </c>
      <c r="C720" s="8" t="s">
        <v>24</v>
      </c>
      <c r="D720" s="8" t="s">
        <v>35</v>
      </c>
      <c r="E720" s="8" t="s">
        <v>18</v>
      </c>
      <c r="F720" s="5">
        <v>3549</v>
      </c>
      <c r="G720" s="8" t="s">
        <v>36</v>
      </c>
      <c r="H720" s="8" t="s">
        <v>20</v>
      </c>
      <c r="I720" s="5">
        <v>13</v>
      </c>
      <c r="J720" s="10">
        <v>821</v>
      </c>
      <c r="K720" s="10">
        <v>10673</v>
      </c>
      <c r="L720" s="10">
        <v>5253.93</v>
      </c>
      <c r="M720" s="10">
        <v>5419.07</v>
      </c>
      <c r="N720" s="8" t="s">
        <v>32</v>
      </c>
      <c r="O720" s="8" t="s">
        <v>39</v>
      </c>
      <c r="P720" s="8" t="s">
        <v>23</v>
      </c>
      <c r="Q720" s="3">
        <f t="shared" si="12"/>
        <v>0.50773634404572288</v>
      </c>
      <c r="R720" s="8" t="str" cm="1">
        <f t="array" ref="R720">_xlfn.IFS(Q720&gt;40%,"Alta",Q720&gt;20%,"Média",Q720&lt;20%,"Baixa")</f>
        <v>Alta</v>
      </c>
    </row>
    <row r="721" spans="1:18" x14ac:dyDescent="0.25">
      <c r="A721" s="5">
        <v>348</v>
      </c>
      <c r="B721" s="6">
        <v>45705</v>
      </c>
      <c r="C721" s="8" t="s">
        <v>24</v>
      </c>
      <c r="D721" s="8" t="s">
        <v>42</v>
      </c>
      <c r="E721" s="8" t="s">
        <v>37</v>
      </c>
      <c r="F721" s="5">
        <v>3561</v>
      </c>
      <c r="G721" s="8" t="s">
        <v>36</v>
      </c>
      <c r="H721" s="8" t="s">
        <v>27</v>
      </c>
      <c r="I721" s="5">
        <v>19</v>
      </c>
      <c r="J721" s="10">
        <v>561</v>
      </c>
      <c r="K721" s="10">
        <v>10659</v>
      </c>
      <c r="L721" s="10">
        <v>5965.39</v>
      </c>
      <c r="M721" s="10">
        <v>4693.6099999999997</v>
      </c>
      <c r="N721" s="8" t="s">
        <v>28</v>
      </c>
      <c r="O721" s="8" t="s">
        <v>39</v>
      </c>
      <c r="P721" s="8" t="s">
        <v>46</v>
      </c>
      <c r="Q721" s="3">
        <f t="shared" si="12"/>
        <v>0.44034243362416736</v>
      </c>
      <c r="R721" s="8" t="str" cm="1">
        <f t="array" ref="R721">_xlfn.IFS(Q721&gt;40%,"Alta",Q721&gt;20%,"Média",Q721&lt;20%,"Baixa")</f>
        <v>Alta</v>
      </c>
    </row>
    <row r="722" spans="1:18" x14ac:dyDescent="0.25">
      <c r="A722" s="5">
        <v>744</v>
      </c>
      <c r="B722" s="6">
        <v>45740</v>
      </c>
      <c r="C722" s="8" t="s">
        <v>34</v>
      </c>
      <c r="D722" s="8" t="s">
        <v>45</v>
      </c>
      <c r="E722" s="8" t="s">
        <v>18</v>
      </c>
      <c r="F722" s="5">
        <v>9937</v>
      </c>
      <c r="G722" s="8" t="s">
        <v>36</v>
      </c>
      <c r="H722" s="8" t="s">
        <v>27</v>
      </c>
      <c r="I722" s="5">
        <v>9</v>
      </c>
      <c r="J722" s="10">
        <v>1183</v>
      </c>
      <c r="K722" s="10">
        <v>10647</v>
      </c>
      <c r="L722" s="10">
        <v>4911.5200000000004</v>
      </c>
      <c r="M722" s="10">
        <v>5735.48</v>
      </c>
      <c r="N722" s="8" t="s">
        <v>32</v>
      </c>
      <c r="O722" s="8" t="s">
        <v>39</v>
      </c>
      <c r="P722" s="8" t="s">
        <v>44</v>
      </c>
      <c r="Q722" s="3">
        <f t="shared" si="12"/>
        <v>0.53869446792523712</v>
      </c>
      <c r="R722" s="8" t="str" cm="1">
        <f t="array" ref="R722">_xlfn.IFS(Q722&gt;40%,"Alta",Q722&gt;20%,"Média",Q722&lt;20%,"Baixa")</f>
        <v>Alta</v>
      </c>
    </row>
    <row r="723" spans="1:18" x14ac:dyDescent="0.25">
      <c r="A723" s="5">
        <v>15</v>
      </c>
      <c r="B723" s="6">
        <v>45718</v>
      </c>
      <c r="C723" s="8" t="s">
        <v>16</v>
      </c>
      <c r="D723" s="8" t="s">
        <v>45</v>
      </c>
      <c r="E723" s="8" t="s">
        <v>37</v>
      </c>
      <c r="F723" s="5">
        <v>3112</v>
      </c>
      <c r="G723" s="8" t="s">
        <v>26</v>
      </c>
      <c r="H723" s="8" t="s">
        <v>27</v>
      </c>
      <c r="I723" s="5">
        <v>5</v>
      </c>
      <c r="J723" s="10">
        <v>2128</v>
      </c>
      <c r="K723" s="10">
        <v>10640</v>
      </c>
      <c r="L723" s="10">
        <v>5521.98</v>
      </c>
      <c r="M723" s="10">
        <v>5118.0200000000004</v>
      </c>
      <c r="N723" s="8" t="s">
        <v>28</v>
      </c>
      <c r="O723" s="8" t="s">
        <v>39</v>
      </c>
      <c r="P723" s="8" t="s">
        <v>44</v>
      </c>
      <c r="Q723" s="3">
        <f t="shared" si="12"/>
        <v>0.48101691729323315</v>
      </c>
      <c r="R723" s="8" t="str" cm="1">
        <f t="array" ref="R723">_xlfn.IFS(Q723&gt;40%,"Alta",Q723&gt;20%,"Média",Q723&lt;20%,"Baixa")</f>
        <v>Alta</v>
      </c>
    </row>
    <row r="724" spans="1:18" x14ac:dyDescent="0.25">
      <c r="A724" s="5">
        <v>378</v>
      </c>
      <c r="B724" s="6">
        <v>45818</v>
      </c>
      <c r="C724" s="8" t="s">
        <v>47</v>
      </c>
      <c r="D724" s="8" t="s">
        <v>35</v>
      </c>
      <c r="E724" s="8" t="s">
        <v>18</v>
      </c>
      <c r="F724" s="5">
        <v>3311</v>
      </c>
      <c r="G724" s="8" t="s">
        <v>36</v>
      </c>
      <c r="H724" s="8" t="s">
        <v>43</v>
      </c>
      <c r="I724" s="5">
        <v>5</v>
      </c>
      <c r="J724" s="10">
        <v>2120</v>
      </c>
      <c r="K724" s="10">
        <v>10600</v>
      </c>
      <c r="L724" s="10">
        <v>7322.08</v>
      </c>
      <c r="M724" s="10">
        <v>3277.92</v>
      </c>
      <c r="N724" s="8" t="s">
        <v>21</v>
      </c>
      <c r="O724" s="8" t="s">
        <v>22</v>
      </c>
      <c r="P724" s="8" t="s">
        <v>46</v>
      </c>
      <c r="Q724" s="3">
        <f t="shared" si="12"/>
        <v>0.30923773584905662</v>
      </c>
      <c r="R724" s="8" t="str" cm="1">
        <f t="array" ref="R724">_xlfn.IFS(Q724&gt;40%,"Alta",Q724&gt;20%,"Média",Q724&lt;20%,"Baixa")</f>
        <v>Média</v>
      </c>
    </row>
    <row r="725" spans="1:18" x14ac:dyDescent="0.25">
      <c r="A725" s="5">
        <v>419</v>
      </c>
      <c r="B725" s="6">
        <v>45821</v>
      </c>
      <c r="C725" s="8" t="s">
        <v>16</v>
      </c>
      <c r="D725" s="8" t="s">
        <v>42</v>
      </c>
      <c r="E725" s="8" t="s">
        <v>37</v>
      </c>
      <c r="F725" s="5">
        <v>3146</v>
      </c>
      <c r="G725" s="8" t="s">
        <v>36</v>
      </c>
      <c r="H725" s="8" t="s">
        <v>27</v>
      </c>
      <c r="I725" s="5">
        <v>4</v>
      </c>
      <c r="J725" s="10">
        <v>2633</v>
      </c>
      <c r="K725" s="10">
        <v>10532</v>
      </c>
      <c r="L725" s="10">
        <v>8071.4</v>
      </c>
      <c r="M725" s="10">
        <v>2460.6</v>
      </c>
      <c r="N725" s="8" t="s">
        <v>28</v>
      </c>
      <c r="O725" s="8" t="s">
        <v>33</v>
      </c>
      <c r="P725" s="8" t="s">
        <v>23</v>
      </c>
      <c r="Q725" s="3">
        <f t="shared" si="12"/>
        <v>0.23363083934675274</v>
      </c>
      <c r="R725" s="8" t="str" cm="1">
        <f t="array" ref="R725">_xlfn.IFS(Q725&gt;40%,"Alta",Q725&gt;20%,"Média",Q725&lt;20%,"Baixa")</f>
        <v>Média</v>
      </c>
    </row>
    <row r="726" spans="1:18" x14ac:dyDescent="0.25">
      <c r="A726" s="5">
        <v>70</v>
      </c>
      <c r="B726" s="6">
        <v>45708</v>
      </c>
      <c r="C726" s="8" t="s">
        <v>34</v>
      </c>
      <c r="D726" s="8" t="s">
        <v>30</v>
      </c>
      <c r="E726" s="8" t="s">
        <v>18</v>
      </c>
      <c r="F726" s="5">
        <v>9180</v>
      </c>
      <c r="G726" s="8" t="s">
        <v>19</v>
      </c>
      <c r="H726" s="8" t="s">
        <v>38</v>
      </c>
      <c r="I726" s="5">
        <v>7</v>
      </c>
      <c r="J726" s="10">
        <v>1491</v>
      </c>
      <c r="K726" s="10">
        <v>10437</v>
      </c>
      <c r="L726" s="10">
        <v>6247.11</v>
      </c>
      <c r="M726" s="10">
        <v>4189.8900000000003</v>
      </c>
      <c r="N726" s="8" t="s">
        <v>21</v>
      </c>
      <c r="O726" s="8" t="s">
        <v>33</v>
      </c>
      <c r="P726" s="8" t="s">
        <v>23</v>
      </c>
      <c r="Q726" s="3">
        <f t="shared" si="12"/>
        <v>0.40144581776372523</v>
      </c>
      <c r="R726" s="8" t="str" cm="1">
        <f t="array" ref="R726">_xlfn.IFS(Q726&gt;40%,"Alta",Q726&gt;20%,"Média",Q726&lt;20%,"Baixa")</f>
        <v>Alta</v>
      </c>
    </row>
    <row r="727" spans="1:18" x14ac:dyDescent="0.25">
      <c r="A727" s="5">
        <v>731</v>
      </c>
      <c r="B727" s="6">
        <v>45736</v>
      </c>
      <c r="C727" s="8" t="s">
        <v>47</v>
      </c>
      <c r="D727" s="8" t="s">
        <v>35</v>
      </c>
      <c r="E727" s="8" t="s">
        <v>41</v>
      </c>
      <c r="F727" s="5">
        <v>7825</v>
      </c>
      <c r="G727" s="8" t="s">
        <v>36</v>
      </c>
      <c r="H727" s="8" t="s">
        <v>27</v>
      </c>
      <c r="I727" s="5">
        <v>11</v>
      </c>
      <c r="J727" s="10">
        <v>948</v>
      </c>
      <c r="K727" s="10">
        <v>10428</v>
      </c>
      <c r="L727" s="10">
        <v>7947.68</v>
      </c>
      <c r="M727" s="10">
        <v>2480.3200000000002</v>
      </c>
      <c r="N727" s="8" t="s">
        <v>21</v>
      </c>
      <c r="O727" s="8" t="s">
        <v>22</v>
      </c>
      <c r="P727" s="8" t="s">
        <v>23</v>
      </c>
      <c r="Q727" s="3">
        <f t="shared" si="12"/>
        <v>0.23785193709244343</v>
      </c>
      <c r="R727" s="8" t="str" cm="1">
        <f t="array" ref="R727">_xlfn.IFS(Q727&gt;40%,"Alta",Q727&gt;20%,"Média",Q727&lt;20%,"Baixa")</f>
        <v>Média</v>
      </c>
    </row>
    <row r="728" spans="1:18" x14ac:dyDescent="0.25">
      <c r="A728" s="5">
        <v>645</v>
      </c>
      <c r="B728" s="6">
        <v>45706</v>
      </c>
      <c r="C728" s="8" t="s">
        <v>16</v>
      </c>
      <c r="D728" s="8" t="s">
        <v>30</v>
      </c>
      <c r="E728" s="8" t="s">
        <v>18</v>
      </c>
      <c r="F728" s="5">
        <v>1389</v>
      </c>
      <c r="G728" s="8" t="s">
        <v>19</v>
      </c>
      <c r="H728" s="8" t="s">
        <v>38</v>
      </c>
      <c r="I728" s="5">
        <v>3</v>
      </c>
      <c r="J728" s="10">
        <v>3454</v>
      </c>
      <c r="K728" s="10">
        <v>10362</v>
      </c>
      <c r="L728" s="10">
        <v>5217.2299999999996</v>
      </c>
      <c r="M728" s="10">
        <v>5144.7700000000004</v>
      </c>
      <c r="N728" s="8" t="s">
        <v>21</v>
      </c>
      <c r="O728" s="8" t="s">
        <v>33</v>
      </c>
      <c r="P728" s="8" t="s">
        <v>40</v>
      </c>
      <c r="Q728" s="3">
        <f t="shared" si="12"/>
        <v>0.49650357073923956</v>
      </c>
      <c r="R728" s="8" t="str" cm="1">
        <f t="array" ref="R728">_xlfn.IFS(Q728&gt;40%,"Alta",Q728&gt;20%,"Média",Q728&lt;20%,"Baixa")</f>
        <v>Alta</v>
      </c>
    </row>
    <row r="729" spans="1:18" x14ac:dyDescent="0.25">
      <c r="A729" s="5">
        <v>123</v>
      </c>
      <c r="B729" s="6">
        <v>45801</v>
      </c>
      <c r="C729" s="8" t="s">
        <v>34</v>
      </c>
      <c r="D729" s="8" t="s">
        <v>17</v>
      </c>
      <c r="E729" s="8" t="s">
        <v>18</v>
      </c>
      <c r="F729" s="5">
        <v>6227</v>
      </c>
      <c r="G729" s="8" t="s">
        <v>26</v>
      </c>
      <c r="H729" s="8" t="s">
        <v>43</v>
      </c>
      <c r="I729" s="5">
        <v>4</v>
      </c>
      <c r="J729" s="10">
        <v>2562</v>
      </c>
      <c r="K729" s="10">
        <v>10248</v>
      </c>
      <c r="L729" s="10">
        <v>7360.7</v>
      </c>
      <c r="M729" s="10">
        <v>2887.3</v>
      </c>
      <c r="N729" s="8" t="s">
        <v>21</v>
      </c>
      <c r="O729" s="8" t="s">
        <v>33</v>
      </c>
      <c r="P729" s="8" t="s">
        <v>23</v>
      </c>
      <c r="Q729" s="3">
        <f t="shared" si="12"/>
        <v>0.28174277907884465</v>
      </c>
      <c r="R729" s="8" t="str" cm="1">
        <f t="array" ref="R729">_xlfn.IFS(Q729&gt;40%,"Alta",Q729&gt;20%,"Média",Q729&lt;20%,"Baixa")</f>
        <v>Média</v>
      </c>
    </row>
    <row r="730" spans="1:18" x14ac:dyDescent="0.25">
      <c r="A730" s="5">
        <v>637</v>
      </c>
      <c r="B730" s="6">
        <v>45728</v>
      </c>
      <c r="C730" s="8" t="s">
        <v>24</v>
      </c>
      <c r="D730" s="8" t="s">
        <v>42</v>
      </c>
      <c r="E730" s="8" t="s">
        <v>25</v>
      </c>
      <c r="F730" s="5">
        <v>6064</v>
      </c>
      <c r="G730" s="8" t="s">
        <v>26</v>
      </c>
      <c r="H730" s="8" t="s">
        <v>27</v>
      </c>
      <c r="I730" s="5">
        <v>8</v>
      </c>
      <c r="J730" s="10">
        <v>1270</v>
      </c>
      <c r="K730" s="10">
        <v>10160</v>
      </c>
      <c r="L730" s="10">
        <v>4599.8599999999997</v>
      </c>
      <c r="M730" s="10">
        <v>5560.14</v>
      </c>
      <c r="N730" s="8" t="s">
        <v>21</v>
      </c>
      <c r="O730" s="8" t="s">
        <v>33</v>
      </c>
      <c r="P730" s="8" t="s">
        <v>23</v>
      </c>
      <c r="Q730" s="3">
        <f t="shared" si="12"/>
        <v>0.5472578740157481</v>
      </c>
      <c r="R730" s="8" t="str" cm="1">
        <f t="array" ref="R730">_xlfn.IFS(Q730&gt;40%,"Alta",Q730&gt;20%,"Média",Q730&lt;20%,"Baixa")</f>
        <v>Alta</v>
      </c>
    </row>
    <row r="731" spans="1:18" x14ac:dyDescent="0.25">
      <c r="A731" s="5">
        <v>640</v>
      </c>
      <c r="B731" s="6">
        <v>45708</v>
      </c>
      <c r="C731" s="8" t="s">
        <v>47</v>
      </c>
      <c r="D731" s="8" t="s">
        <v>17</v>
      </c>
      <c r="E731" s="8" t="s">
        <v>37</v>
      </c>
      <c r="F731" s="5">
        <v>1898</v>
      </c>
      <c r="G731" s="8" t="s">
        <v>36</v>
      </c>
      <c r="H731" s="8" t="s">
        <v>31</v>
      </c>
      <c r="I731" s="5">
        <v>11</v>
      </c>
      <c r="J731" s="10">
        <v>923</v>
      </c>
      <c r="K731" s="10">
        <v>10153</v>
      </c>
      <c r="L731" s="10">
        <v>6744.24</v>
      </c>
      <c r="M731" s="10">
        <v>3408.76</v>
      </c>
      <c r="N731" s="8" t="s">
        <v>28</v>
      </c>
      <c r="O731" s="8" t="s">
        <v>33</v>
      </c>
      <c r="P731" s="8" t="s">
        <v>44</v>
      </c>
      <c r="Q731" s="3">
        <f t="shared" si="12"/>
        <v>0.33573919038707772</v>
      </c>
      <c r="R731" s="8" t="str" cm="1">
        <f t="array" ref="R731">_xlfn.IFS(Q731&gt;40%,"Alta",Q731&gt;20%,"Média",Q731&lt;20%,"Baixa")</f>
        <v>Média</v>
      </c>
    </row>
    <row r="732" spans="1:18" x14ac:dyDescent="0.25">
      <c r="A732" s="5">
        <v>646</v>
      </c>
      <c r="B732" s="6">
        <v>45709</v>
      </c>
      <c r="C732" s="8" t="s">
        <v>24</v>
      </c>
      <c r="D732" s="8" t="s">
        <v>42</v>
      </c>
      <c r="E732" s="8" t="s">
        <v>18</v>
      </c>
      <c r="F732" s="5">
        <v>4395</v>
      </c>
      <c r="G732" s="8" t="s">
        <v>36</v>
      </c>
      <c r="H732" s="8" t="s">
        <v>27</v>
      </c>
      <c r="I732" s="5">
        <v>3</v>
      </c>
      <c r="J732" s="10">
        <v>3371</v>
      </c>
      <c r="K732" s="10">
        <v>10113</v>
      </c>
      <c r="L732" s="10">
        <v>6600.48</v>
      </c>
      <c r="M732" s="10">
        <v>3512.52</v>
      </c>
      <c r="N732" s="8" t="s">
        <v>21</v>
      </c>
      <c r="O732" s="8" t="s">
        <v>22</v>
      </c>
      <c r="P732" s="8" t="s">
        <v>40</v>
      </c>
      <c r="Q732" s="3">
        <f t="shared" si="12"/>
        <v>0.34732720261050132</v>
      </c>
      <c r="R732" s="8" t="str" cm="1">
        <f t="array" ref="R732">_xlfn.IFS(Q732&gt;40%,"Alta",Q732&gt;20%,"Média",Q732&lt;20%,"Baixa")</f>
        <v>Média</v>
      </c>
    </row>
    <row r="733" spans="1:18" x14ac:dyDescent="0.25">
      <c r="A733" s="5">
        <v>604</v>
      </c>
      <c r="B733" s="6">
        <v>45758</v>
      </c>
      <c r="C733" s="8" t="s">
        <v>34</v>
      </c>
      <c r="D733" s="8" t="s">
        <v>30</v>
      </c>
      <c r="E733" s="8" t="s">
        <v>18</v>
      </c>
      <c r="F733" s="5">
        <v>1775</v>
      </c>
      <c r="G733" s="8" t="s">
        <v>36</v>
      </c>
      <c r="H733" s="8" t="s">
        <v>38</v>
      </c>
      <c r="I733" s="5">
        <v>4</v>
      </c>
      <c r="J733" s="10">
        <v>2521</v>
      </c>
      <c r="K733" s="10">
        <v>10084</v>
      </c>
      <c r="L733" s="10">
        <v>6825.51</v>
      </c>
      <c r="M733" s="10">
        <v>3258.49</v>
      </c>
      <c r="N733" s="8" t="s">
        <v>32</v>
      </c>
      <c r="O733" s="8" t="s">
        <v>33</v>
      </c>
      <c r="P733" s="8" t="s">
        <v>40</v>
      </c>
      <c r="Q733" s="3">
        <f t="shared" si="12"/>
        <v>0.32313466878222924</v>
      </c>
      <c r="R733" s="8" t="str" cm="1">
        <f t="array" ref="R733">_xlfn.IFS(Q733&gt;40%,"Alta",Q733&gt;20%,"Média",Q733&lt;20%,"Baixa")</f>
        <v>Média</v>
      </c>
    </row>
    <row r="734" spans="1:18" x14ac:dyDescent="0.25">
      <c r="A734" s="5">
        <v>641</v>
      </c>
      <c r="B734" s="6">
        <v>45776</v>
      </c>
      <c r="C734" s="8" t="s">
        <v>47</v>
      </c>
      <c r="D734" s="8" t="s">
        <v>35</v>
      </c>
      <c r="E734" s="8" t="s">
        <v>25</v>
      </c>
      <c r="F734" s="5">
        <v>6176</v>
      </c>
      <c r="G734" s="8" t="s">
        <v>26</v>
      </c>
      <c r="H734" s="8" t="s">
        <v>43</v>
      </c>
      <c r="I734" s="5">
        <v>9</v>
      </c>
      <c r="J734" s="10">
        <v>1120</v>
      </c>
      <c r="K734" s="10">
        <v>10080</v>
      </c>
      <c r="L734" s="10">
        <v>7235.13</v>
      </c>
      <c r="M734" s="10">
        <v>2844.87</v>
      </c>
      <c r="N734" s="8" t="s">
        <v>28</v>
      </c>
      <c r="O734" s="8" t="s">
        <v>22</v>
      </c>
      <c r="P734" s="8" t="s">
        <v>46</v>
      </c>
      <c r="Q734" s="3">
        <f t="shared" si="12"/>
        <v>0.28222916666666664</v>
      </c>
      <c r="R734" s="8" t="str" cm="1">
        <f t="array" ref="R734">_xlfn.IFS(Q734&gt;40%,"Alta",Q734&gt;20%,"Média",Q734&lt;20%,"Baixa")</f>
        <v>Média</v>
      </c>
    </row>
    <row r="735" spans="1:18" x14ac:dyDescent="0.25">
      <c r="A735" s="5">
        <v>889</v>
      </c>
      <c r="B735" s="6">
        <v>45679</v>
      </c>
      <c r="C735" s="8" t="s">
        <v>34</v>
      </c>
      <c r="D735" s="8" t="s">
        <v>30</v>
      </c>
      <c r="E735" s="8" t="s">
        <v>25</v>
      </c>
      <c r="F735" s="5">
        <v>7598</v>
      </c>
      <c r="G735" s="8" t="s">
        <v>19</v>
      </c>
      <c r="H735" s="8" t="s">
        <v>38</v>
      </c>
      <c r="I735" s="5">
        <v>7</v>
      </c>
      <c r="J735" s="10">
        <v>1433</v>
      </c>
      <c r="K735" s="10">
        <v>10031</v>
      </c>
      <c r="L735" s="10">
        <v>4033.62</v>
      </c>
      <c r="M735" s="10">
        <v>5997.38</v>
      </c>
      <c r="N735" s="8" t="s">
        <v>28</v>
      </c>
      <c r="O735" s="8" t="s">
        <v>22</v>
      </c>
      <c r="P735" s="8" t="s">
        <v>23</v>
      </c>
      <c r="Q735" s="3">
        <f t="shared" si="12"/>
        <v>0.59788455787060113</v>
      </c>
      <c r="R735" s="8" t="str" cm="1">
        <f t="array" ref="R735">_xlfn.IFS(Q735&gt;40%,"Alta",Q735&gt;20%,"Média",Q735&lt;20%,"Baixa")</f>
        <v>Alta</v>
      </c>
    </row>
    <row r="736" spans="1:18" x14ac:dyDescent="0.25">
      <c r="A736" s="5">
        <v>748</v>
      </c>
      <c r="B736" s="6">
        <v>45660</v>
      </c>
      <c r="C736" s="8" t="s">
        <v>24</v>
      </c>
      <c r="D736" s="8" t="s">
        <v>42</v>
      </c>
      <c r="E736" s="8" t="s">
        <v>25</v>
      </c>
      <c r="F736" s="5">
        <v>2603</v>
      </c>
      <c r="G736" s="8" t="s">
        <v>19</v>
      </c>
      <c r="H736" s="8" t="s">
        <v>20</v>
      </c>
      <c r="I736" s="5">
        <v>6</v>
      </c>
      <c r="J736" s="10">
        <v>1667</v>
      </c>
      <c r="K736" s="10">
        <v>10002</v>
      </c>
      <c r="L736" s="10">
        <v>7334.69</v>
      </c>
      <c r="M736" s="10">
        <v>2667.31</v>
      </c>
      <c r="N736" s="8" t="s">
        <v>28</v>
      </c>
      <c r="O736" s="8" t="s">
        <v>22</v>
      </c>
      <c r="P736" s="8" t="s">
        <v>44</v>
      </c>
      <c r="Q736" s="3">
        <f t="shared" si="12"/>
        <v>0.26667766446710656</v>
      </c>
      <c r="R736" s="8" t="str" cm="1">
        <f t="array" ref="R736">_xlfn.IFS(Q736&gt;40%,"Alta",Q736&gt;20%,"Média",Q736&lt;20%,"Baixa")</f>
        <v>Média</v>
      </c>
    </row>
    <row r="737" spans="1:18" x14ac:dyDescent="0.25">
      <c r="A737" s="5">
        <v>929</v>
      </c>
      <c r="B737" s="6">
        <v>45765</v>
      </c>
      <c r="C737" s="8" t="s">
        <v>24</v>
      </c>
      <c r="D737" s="8" t="s">
        <v>35</v>
      </c>
      <c r="E737" s="8" t="s">
        <v>25</v>
      </c>
      <c r="F737" s="5">
        <v>9675</v>
      </c>
      <c r="G737" s="8" t="s">
        <v>26</v>
      </c>
      <c r="H737" s="8" t="s">
        <v>38</v>
      </c>
      <c r="I737" s="5">
        <v>2</v>
      </c>
      <c r="J737" s="10">
        <v>4980</v>
      </c>
      <c r="K737" s="10">
        <v>9960</v>
      </c>
      <c r="L737" s="10">
        <v>7866.11</v>
      </c>
      <c r="M737" s="10">
        <v>2093.89</v>
      </c>
      <c r="N737" s="8" t="s">
        <v>28</v>
      </c>
      <c r="O737" s="8" t="s">
        <v>33</v>
      </c>
      <c r="P737" s="8" t="s">
        <v>44</v>
      </c>
      <c r="Q737" s="3">
        <f t="shared" si="12"/>
        <v>0.21022991967871485</v>
      </c>
      <c r="R737" s="8" t="str" cm="1">
        <f t="array" ref="R737">_xlfn.IFS(Q737&gt;40%,"Alta",Q737&gt;20%,"Média",Q737&lt;20%,"Baixa")</f>
        <v>Média</v>
      </c>
    </row>
    <row r="738" spans="1:18" x14ac:dyDescent="0.25">
      <c r="A738" s="5">
        <v>352</v>
      </c>
      <c r="B738" s="6">
        <v>45746</v>
      </c>
      <c r="C738" s="8" t="s">
        <v>47</v>
      </c>
      <c r="D738" s="8" t="s">
        <v>45</v>
      </c>
      <c r="E738" s="8" t="s">
        <v>25</v>
      </c>
      <c r="F738" s="5">
        <v>4126</v>
      </c>
      <c r="G738" s="8" t="s">
        <v>26</v>
      </c>
      <c r="H738" s="8" t="s">
        <v>20</v>
      </c>
      <c r="I738" s="5">
        <v>4</v>
      </c>
      <c r="J738" s="10">
        <v>2474</v>
      </c>
      <c r="K738" s="10">
        <v>9896</v>
      </c>
      <c r="L738" s="10">
        <v>4390.33</v>
      </c>
      <c r="M738" s="10">
        <v>5505.67</v>
      </c>
      <c r="N738" s="8" t="s">
        <v>28</v>
      </c>
      <c r="O738" s="8" t="s">
        <v>39</v>
      </c>
      <c r="P738" s="8" t="s">
        <v>23</v>
      </c>
      <c r="Q738" s="3">
        <f t="shared" si="12"/>
        <v>0.55635307194826189</v>
      </c>
      <c r="R738" s="8" t="str" cm="1">
        <f t="array" ref="R738">_xlfn.IFS(Q738&gt;40%,"Alta",Q738&gt;20%,"Média",Q738&lt;20%,"Baixa")</f>
        <v>Alta</v>
      </c>
    </row>
    <row r="739" spans="1:18" x14ac:dyDescent="0.25">
      <c r="A739" s="5">
        <v>796</v>
      </c>
      <c r="B739" s="6">
        <v>45663</v>
      </c>
      <c r="C739" s="8" t="s">
        <v>34</v>
      </c>
      <c r="D739" s="8" t="s">
        <v>30</v>
      </c>
      <c r="E739" s="8" t="s">
        <v>37</v>
      </c>
      <c r="F739" s="5">
        <v>3551</v>
      </c>
      <c r="G739" s="8" t="s">
        <v>36</v>
      </c>
      <c r="H739" s="8" t="s">
        <v>31</v>
      </c>
      <c r="I739" s="5">
        <v>20</v>
      </c>
      <c r="J739" s="10">
        <v>494</v>
      </c>
      <c r="K739" s="10">
        <v>9880</v>
      </c>
      <c r="L739" s="10">
        <v>4278.91</v>
      </c>
      <c r="M739" s="10">
        <v>5601.09</v>
      </c>
      <c r="N739" s="8" t="s">
        <v>21</v>
      </c>
      <c r="O739" s="8" t="s">
        <v>39</v>
      </c>
      <c r="P739" s="8" t="s">
        <v>29</v>
      </c>
      <c r="Q739" s="3">
        <f t="shared" si="12"/>
        <v>0.56691194331983807</v>
      </c>
      <c r="R739" s="8" t="str" cm="1">
        <f t="array" ref="R739">_xlfn.IFS(Q739&gt;40%,"Alta",Q739&gt;20%,"Média",Q739&lt;20%,"Baixa")</f>
        <v>Alta</v>
      </c>
    </row>
    <row r="740" spans="1:18" x14ac:dyDescent="0.25">
      <c r="A740" s="5">
        <v>253</v>
      </c>
      <c r="B740" s="6">
        <v>45731</v>
      </c>
      <c r="C740" s="8" t="s">
        <v>24</v>
      </c>
      <c r="D740" s="8" t="s">
        <v>17</v>
      </c>
      <c r="E740" s="8" t="s">
        <v>37</v>
      </c>
      <c r="F740" s="5">
        <v>8567</v>
      </c>
      <c r="G740" s="8" t="s">
        <v>26</v>
      </c>
      <c r="H740" s="8" t="s">
        <v>43</v>
      </c>
      <c r="I740" s="5">
        <v>6</v>
      </c>
      <c r="J740" s="10">
        <v>1636</v>
      </c>
      <c r="K740" s="10">
        <v>9816</v>
      </c>
      <c r="L740" s="10">
        <v>7310.61</v>
      </c>
      <c r="M740" s="10">
        <v>2505.39</v>
      </c>
      <c r="N740" s="8" t="s">
        <v>21</v>
      </c>
      <c r="O740" s="8" t="s">
        <v>39</v>
      </c>
      <c r="P740" s="8" t="s">
        <v>40</v>
      </c>
      <c r="Q740" s="3">
        <f t="shared" si="12"/>
        <v>0.25523533007334964</v>
      </c>
      <c r="R740" s="8" t="str" cm="1">
        <f t="array" ref="R740">_xlfn.IFS(Q740&gt;40%,"Alta",Q740&gt;20%,"Média",Q740&lt;20%,"Baixa")</f>
        <v>Média</v>
      </c>
    </row>
    <row r="741" spans="1:18" x14ac:dyDescent="0.25">
      <c r="A741" s="5">
        <v>739</v>
      </c>
      <c r="B741" s="6">
        <v>45836</v>
      </c>
      <c r="C741" s="8" t="s">
        <v>34</v>
      </c>
      <c r="D741" s="8" t="s">
        <v>42</v>
      </c>
      <c r="E741" s="8" t="s">
        <v>25</v>
      </c>
      <c r="F741" s="5">
        <v>5670</v>
      </c>
      <c r="G741" s="8" t="s">
        <v>36</v>
      </c>
      <c r="H741" s="8" t="s">
        <v>20</v>
      </c>
      <c r="I741" s="5">
        <v>17</v>
      </c>
      <c r="J741" s="10">
        <v>577</v>
      </c>
      <c r="K741" s="10">
        <v>9809</v>
      </c>
      <c r="L741" s="10">
        <v>6206.01</v>
      </c>
      <c r="M741" s="10">
        <v>3602.99</v>
      </c>
      <c r="N741" s="8" t="s">
        <v>32</v>
      </c>
      <c r="O741" s="8" t="s">
        <v>22</v>
      </c>
      <c r="P741" s="8" t="s">
        <v>29</v>
      </c>
      <c r="Q741" s="3">
        <f t="shared" si="12"/>
        <v>0.36731471097971247</v>
      </c>
      <c r="R741" s="8" t="str" cm="1">
        <f t="array" ref="R741">_xlfn.IFS(Q741&gt;40%,"Alta",Q741&gt;20%,"Média",Q741&lt;20%,"Baixa")</f>
        <v>Média</v>
      </c>
    </row>
    <row r="742" spans="1:18" x14ac:dyDescent="0.25">
      <c r="A742" s="5">
        <v>867</v>
      </c>
      <c r="B742" s="6">
        <v>45752</v>
      </c>
      <c r="C742" s="8" t="s">
        <v>16</v>
      </c>
      <c r="D742" s="8" t="s">
        <v>42</v>
      </c>
      <c r="E742" s="8" t="s">
        <v>41</v>
      </c>
      <c r="F742" s="5">
        <v>7885</v>
      </c>
      <c r="G742" s="8" t="s">
        <v>36</v>
      </c>
      <c r="H742" s="8" t="s">
        <v>43</v>
      </c>
      <c r="I742" s="5">
        <v>4</v>
      </c>
      <c r="J742" s="10">
        <v>2442</v>
      </c>
      <c r="K742" s="10">
        <v>9768</v>
      </c>
      <c r="L742" s="10">
        <v>6565.75</v>
      </c>
      <c r="M742" s="10">
        <v>3202.25</v>
      </c>
      <c r="N742" s="8" t="s">
        <v>21</v>
      </c>
      <c r="O742" s="8" t="s">
        <v>39</v>
      </c>
      <c r="P742" s="8" t="s">
        <v>40</v>
      </c>
      <c r="Q742" s="3">
        <f t="shared" si="12"/>
        <v>0.32783067158067158</v>
      </c>
      <c r="R742" s="8" t="str" cm="1">
        <f t="array" ref="R742">_xlfn.IFS(Q742&gt;40%,"Alta",Q742&gt;20%,"Média",Q742&lt;20%,"Baixa")</f>
        <v>Média</v>
      </c>
    </row>
    <row r="743" spans="1:18" x14ac:dyDescent="0.25">
      <c r="A743" s="5">
        <v>800</v>
      </c>
      <c r="B743" s="6">
        <v>45687</v>
      </c>
      <c r="C743" s="8" t="s">
        <v>34</v>
      </c>
      <c r="D743" s="8" t="s">
        <v>30</v>
      </c>
      <c r="E743" s="8" t="s">
        <v>41</v>
      </c>
      <c r="F743" s="5">
        <v>9796</v>
      </c>
      <c r="G743" s="8" t="s">
        <v>26</v>
      </c>
      <c r="H743" s="8" t="s">
        <v>31</v>
      </c>
      <c r="I743" s="5">
        <v>3</v>
      </c>
      <c r="J743" s="10">
        <v>3249</v>
      </c>
      <c r="K743" s="10">
        <v>9747</v>
      </c>
      <c r="L743" s="10">
        <v>5705.29</v>
      </c>
      <c r="M743" s="10">
        <v>4041.71</v>
      </c>
      <c r="N743" s="8" t="s">
        <v>32</v>
      </c>
      <c r="O743" s="8" t="s">
        <v>39</v>
      </c>
      <c r="P743" s="8" t="s">
        <v>29</v>
      </c>
      <c r="Q743" s="3">
        <f t="shared" si="12"/>
        <v>0.41466194726582539</v>
      </c>
      <c r="R743" s="8" t="str" cm="1">
        <f t="array" ref="R743">_xlfn.IFS(Q743&gt;40%,"Alta",Q743&gt;20%,"Média",Q743&lt;20%,"Baixa")</f>
        <v>Alta</v>
      </c>
    </row>
    <row r="744" spans="1:18" x14ac:dyDescent="0.25">
      <c r="A744" s="5">
        <v>971</v>
      </c>
      <c r="B744" s="6">
        <v>45774</v>
      </c>
      <c r="C744" s="8" t="s">
        <v>34</v>
      </c>
      <c r="D744" s="8" t="s">
        <v>42</v>
      </c>
      <c r="E744" s="8" t="s">
        <v>41</v>
      </c>
      <c r="F744" s="5">
        <v>8261</v>
      </c>
      <c r="G744" s="8" t="s">
        <v>36</v>
      </c>
      <c r="H744" s="8" t="s">
        <v>20</v>
      </c>
      <c r="I744" s="5">
        <v>14</v>
      </c>
      <c r="J744" s="10">
        <v>695</v>
      </c>
      <c r="K744" s="10">
        <v>9730</v>
      </c>
      <c r="L744" s="10">
        <v>4010.22</v>
      </c>
      <c r="M744" s="10">
        <v>5719.78</v>
      </c>
      <c r="N744" s="8" t="s">
        <v>28</v>
      </c>
      <c r="O744" s="8" t="s">
        <v>33</v>
      </c>
      <c r="P744" s="8" t="s">
        <v>44</v>
      </c>
      <c r="Q744" s="3">
        <f t="shared" si="12"/>
        <v>0.58784994861253848</v>
      </c>
      <c r="R744" s="8" t="str" cm="1">
        <f t="array" ref="R744">_xlfn.IFS(Q744&gt;40%,"Alta",Q744&gt;20%,"Média",Q744&lt;20%,"Baixa")</f>
        <v>Alta</v>
      </c>
    </row>
    <row r="745" spans="1:18" x14ac:dyDescent="0.25">
      <c r="A745" s="5">
        <v>274</v>
      </c>
      <c r="B745" s="6">
        <v>45790</v>
      </c>
      <c r="C745" s="8" t="s">
        <v>16</v>
      </c>
      <c r="D745" s="8" t="s">
        <v>45</v>
      </c>
      <c r="E745" s="8" t="s">
        <v>18</v>
      </c>
      <c r="F745" s="5">
        <v>5518</v>
      </c>
      <c r="G745" s="8" t="s">
        <v>19</v>
      </c>
      <c r="H745" s="8" t="s">
        <v>43</v>
      </c>
      <c r="I745" s="5">
        <v>10</v>
      </c>
      <c r="J745" s="10">
        <v>971</v>
      </c>
      <c r="K745" s="10">
        <v>9710</v>
      </c>
      <c r="L745" s="10">
        <v>6498.9</v>
      </c>
      <c r="M745" s="10">
        <v>3211.1</v>
      </c>
      <c r="N745" s="8" t="s">
        <v>32</v>
      </c>
      <c r="O745" s="8" t="s">
        <v>39</v>
      </c>
      <c r="P745" s="8" t="s">
        <v>23</v>
      </c>
      <c r="Q745" s="3">
        <f t="shared" si="12"/>
        <v>0.33070030895983521</v>
      </c>
      <c r="R745" s="8" t="str" cm="1">
        <f t="array" ref="R745">_xlfn.IFS(Q745&gt;40%,"Alta",Q745&gt;20%,"Média",Q745&lt;20%,"Baixa")</f>
        <v>Média</v>
      </c>
    </row>
    <row r="746" spans="1:18" x14ac:dyDescent="0.25">
      <c r="A746" s="5">
        <v>364</v>
      </c>
      <c r="B746" s="6">
        <v>45661</v>
      </c>
      <c r="C746" s="8" t="s">
        <v>47</v>
      </c>
      <c r="D746" s="8" t="s">
        <v>42</v>
      </c>
      <c r="E746" s="8" t="s">
        <v>41</v>
      </c>
      <c r="F746" s="5">
        <v>6185</v>
      </c>
      <c r="G746" s="8" t="s">
        <v>19</v>
      </c>
      <c r="H746" s="8" t="s">
        <v>38</v>
      </c>
      <c r="I746" s="5">
        <v>5</v>
      </c>
      <c r="J746" s="10">
        <v>1938</v>
      </c>
      <c r="K746" s="10">
        <v>9690</v>
      </c>
      <c r="L746" s="10">
        <v>6776</v>
      </c>
      <c r="M746" s="10">
        <v>2914</v>
      </c>
      <c r="N746" s="8" t="s">
        <v>28</v>
      </c>
      <c r="O746" s="8" t="s">
        <v>33</v>
      </c>
      <c r="P746" s="8" t="s">
        <v>44</v>
      </c>
      <c r="Q746" s="3">
        <f t="shared" si="12"/>
        <v>0.30072239422084623</v>
      </c>
      <c r="R746" s="8" t="str" cm="1">
        <f t="array" ref="R746">_xlfn.IFS(Q746&gt;40%,"Alta",Q746&gt;20%,"Média",Q746&lt;20%,"Baixa")</f>
        <v>Média</v>
      </c>
    </row>
    <row r="747" spans="1:18" x14ac:dyDescent="0.25">
      <c r="A747" s="5">
        <v>666</v>
      </c>
      <c r="B747" s="6">
        <v>45721</v>
      </c>
      <c r="C747" s="8" t="s">
        <v>34</v>
      </c>
      <c r="D747" s="8" t="s">
        <v>42</v>
      </c>
      <c r="E747" s="8" t="s">
        <v>41</v>
      </c>
      <c r="F747" s="5">
        <v>5091</v>
      </c>
      <c r="G747" s="8" t="s">
        <v>26</v>
      </c>
      <c r="H747" s="8" t="s">
        <v>43</v>
      </c>
      <c r="I747" s="5">
        <v>10</v>
      </c>
      <c r="J747" s="10">
        <v>969</v>
      </c>
      <c r="K747" s="10">
        <v>9690</v>
      </c>
      <c r="L747" s="10">
        <v>4788.05</v>
      </c>
      <c r="M747" s="10">
        <v>4901.95</v>
      </c>
      <c r="N747" s="8" t="s">
        <v>32</v>
      </c>
      <c r="O747" s="8" t="s">
        <v>39</v>
      </c>
      <c r="P747" s="8" t="s">
        <v>46</v>
      </c>
      <c r="Q747" s="3">
        <f t="shared" si="12"/>
        <v>0.50587719298245615</v>
      </c>
      <c r="R747" s="8" t="str" cm="1">
        <f t="array" ref="R747">_xlfn.IFS(Q747&gt;40%,"Alta",Q747&gt;20%,"Média",Q747&lt;20%,"Baixa")</f>
        <v>Alta</v>
      </c>
    </row>
    <row r="748" spans="1:18" x14ac:dyDescent="0.25">
      <c r="A748" s="5">
        <v>502</v>
      </c>
      <c r="B748" s="6">
        <v>45702</v>
      </c>
      <c r="C748" s="8" t="s">
        <v>47</v>
      </c>
      <c r="D748" s="8" t="s">
        <v>35</v>
      </c>
      <c r="E748" s="8" t="s">
        <v>25</v>
      </c>
      <c r="F748" s="5">
        <v>6186</v>
      </c>
      <c r="G748" s="8" t="s">
        <v>19</v>
      </c>
      <c r="H748" s="8" t="s">
        <v>38</v>
      </c>
      <c r="I748" s="5">
        <v>13</v>
      </c>
      <c r="J748" s="10">
        <v>734</v>
      </c>
      <c r="K748" s="10">
        <v>9542</v>
      </c>
      <c r="L748" s="10">
        <v>7187.52</v>
      </c>
      <c r="M748" s="10">
        <v>2354.48</v>
      </c>
      <c r="N748" s="8" t="s">
        <v>28</v>
      </c>
      <c r="O748" s="8" t="s">
        <v>39</v>
      </c>
      <c r="P748" s="8" t="s">
        <v>23</v>
      </c>
      <c r="Q748" s="3">
        <f t="shared" si="12"/>
        <v>0.24674910920142529</v>
      </c>
      <c r="R748" s="8" t="str" cm="1">
        <f t="array" ref="R748">_xlfn.IFS(Q748&gt;40%,"Alta",Q748&gt;20%,"Média",Q748&lt;20%,"Baixa")</f>
        <v>Média</v>
      </c>
    </row>
    <row r="749" spans="1:18" x14ac:dyDescent="0.25">
      <c r="A749" s="5">
        <v>667</v>
      </c>
      <c r="B749" s="6">
        <v>45729</v>
      </c>
      <c r="C749" s="8" t="s">
        <v>34</v>
      </c>
      <c r="D749" s="8" t="s">
        <v>30</v>
      </c>
      <c r="E749" s="8" t="s">
        <v>37</v>
      </c>
      <c r="F749" s="5">
        <v>8658</v>
      </c>
      <c r="G749" s="8" t="s">
        <v>36</v>
      </c>
      <c r="H749" s="8" t="s">
        <v>27</v>
      </c>
      <c r="I749" s="5">
        <v>3</v>
      </c>
      <c r="J749" s="10">
        <v>3174</v>
      </c>
      <c r="K749" s="10">
        <v>9522</v>
      </c>
      <c r="L749" s="10">
        <v>5145.0200000000004</v>
      </c>
      <c r="M749" s="10">
        <v>4376.9799999999996</v>
      </c>
      <c r="N749" s="8" t="s">
        <v>28</v>
      </c>
      <c r="O749" s="8" t="s">
        <v>22</v>
      </c>
      <c r="P749" s="8" t="s">
        <v>46</v>
      </c>
      <c r="Q749" s="3">
        <f t="shared" si="12"/>
        <v>0.45967023734509554</v>
      </c>
      <c r="R749" s="8" t="str" cm="1">
        <f t="array" ref="R749">_xlfn.IFS(Q749&gt;40%,"Alta",Q749&gt;20%,"Média",Q749&lt;20%,"Baixa")</f>
        <v>Alta</v>
      </c>
    </row>
    <row r="750" spans="1:18" x14ac:dyDescent="0.25">
      <c r="A750" s="5">
        <v>44</v>
      </c>
      <c r="B750" s="6">
        <v>45659</v>
      </c>
      <c r="C750" s="8" t="s">
        <v>47</v>
      </c>
      <c r="D750" s="8" t="s">
        <v>17</v>
      </c>
      <c r="E750" s="8" t="s">
        <v>18</v>
      </c>
      <c r="F750" s="5">
        <v>2167</v>
      </c>
      <c r="G750" s="8" t="s">
        <v>26</v>
      </c>
      <c r="H750" s="8" t="s">
        <v>38</v>
      </c>
      <c r="I750" s="5">
        <v>3</v>
      </c>
      <c r="J750" s="10">
        <v>3161</v>
      </c>
      <c r="K750" s="10">
        <v>9483</v>
      </c>
      <c r="L750" s="10">
        <v>6486.65</v>
      </c>
      <c r="M750" s="10">
        <v>2996.35</v>
      </c>
      <c r="N750" s="8" t="s">
        <v>28</v>
      </c>
      <c r="O750" s="8" t="s">
        <v>33</v>
      </c>
      <c r="P750" s="8" t="s">
        <v>23</v>
      </c>
      <c r="Q750" s="3">
        <f t="shared" si="12"/>
        <v>0.31597068438257936</v>
      </c>
      <c r="R750" s="8" t="str" cm="1">
        <f t="array" ref="R750">_xlfn.IFS(Q750&gt;40%,"Alta",Q750&gt;20%,"Média",Q750&lt;20%,"Baixa")</f>
        <v>Média</v>
      </c>
    </row>
    <row r="751" spans="1:18" x14ac:dyDescent="0.25">
      <c r="A751" s="5">
        <v>463</v>
      </c>
      <c r="B751" s="6">
        <v>45818</v>
      </c>
      <c r="C751" s="8" t="s">
        <v>47</v>
      </c>
      <c r="D751" s="8" t="s">
        <v>30</v>
      </c>
      <c r="E751" s="8" t="s">
        <v>41</v>
      </c>
      <c r="F751" s="5">
        <v>2156</v>
      </c>
      <c r="G751" s="8" t="s">
        <v>19</v>
      </c>
      <c r="H751" s="8" t="s">
        <v>43</v>
      </c>
      <c r="I751" s="5">
        <v>3</v>
      </c>
      <c r="J751" s="10">
        <v>3148</v>
      </c>
      <c r="K751" s="10">
        <v>9444</v>
      </c>
      <c r="L751" s="10">
        <v>4678.1400000000003</v>
      </c>
      <c r="M751" s="10">
        <v>4765.8599999999997</v>
      </c>
      <c r="N751" s="8" t="s">
        <v>21</v>
      </c>
      <c r="O751" s="8" t="s">
        <v>33</v>
      </c>
      <c r="P751" s="8" t="s">
        <v>46</v>
      </c>
      <c r="Q751" s="3">
        <f t="shared" si="12"/>
        <v>0.50464421855146124</v>
      </c>
      <c r="R751" s="8" t="str" cm="1">
        <f t="array" ref="R751">_xlfn.IFS(Q751&gt;40%,"Alta",Q751&gt;20%,"Média",Q751&lt;20%,"Baixa")</f>
        <v>Alta</v>
      </c>
    </row>
    <row r="752" spans="1:18" x14ac:dyDescent="0.25">
      <c r="A752" s="5">
        <v>230</v>
      </c>
      <c r="B752" s="6">
        <v>45784</v>
      </c>
      <c r="C752" s="8" t="s">
        <v>16</v>
      </c>
      <c r="D752" s="8" t="s">
        <v>45</v>
      </c>
      <c r="E752" s="8" t="s">
        <v>18</v>
      </c>
      <c r="F752" s="5">
        <v>9931</v>
      </c>
      <c r="G752" s="8" t="s">
        <v>36</v>
      </c>
      <c r="H752" s="8" t="s">
        <v>38</v>
      </c>
      <c r="I752" s="5">
        <v>8</v>
      </c>
      <c r="J752" s="10">
        <v>1169</v>
      </c>
      <c r="K752" s="10">
        <v>9352</v>
      </c>
      <c r="L752" s="10">
        <v>5907.59</v>
      </c>
      <c r="M752" s="10">
        <v>3444.41</v>
      </c>
      <c r="N752" s="8" t="s">
        <v>32</v>
      </c>
      <c r="O752" s="8" t="s">
        <v>33</v>
      </c>
      <c r="P752" s="8" t="s">
        <v>44</v>
      </c>
      <c r="Q752" s="3">
        <f t="shared" si="12"/>
        <v>0.36830731394354149</v>
      </c>
      <c r="R752" s="8" t="str" cm="1">
        <f t="array" ref="R752">_xlfn.IFS(Q752&gt;40%,"Alta",Q752&gt;20%,"Média",Q752&lt;20%,"Baixa")</f>
        <v>Média</v>
      </c>
    </row>
    <row r="753" spans="1:18" x14ac:dyDescent="0.25">
      <c r="A753" s="5">
        <v>73</v>
      </c>
      <c r="B753" s="6">
        <v>45800</v>
      </c>
      <c r="C753" s="8" t="s">
        <v>34</v>
      </c>
      <c r="D753" s="8" t="s">
        <v>45</v>
      </c>
      <c r="E753" s="8" t="s">
        <v>18</v>
      </c>
      <c r="F753" s="5">
        <v>6709</v>
      </c>
      <c r="G753" s="8" t="s">
        <v>26</v>
      </c>
      <c r="H753" s="8" t="s">
        <v>43</v>
      </c>
      <c r="I753" s="5">
        <v>12</v>
      </c>
      <c r="J753" s="10">
        <v>777</v>
      </c>
      <c r="K753" s="10">
        <v>9324</v>
      </c>
      <c r="L753" s="10">
        <v>7375.84</v>
      </c>
      <c r="M753" s="10">
        <v>1948.16</v>
      </c>
      <c r="N753" s="8" t="s">
        <v>21</v>
      </c>
      <c r="O753" s="8" t="s">
        <v>22</v>
      </c>
      <c r="P753" s="8" t="s">
        <v>44</v>
      </c>
      <c r="Q753" s="3">
        <f t="shared" si="12"/>
        <v>0.20894036894036894</v>
      </c>
      <c r="R753" s="8" t="str" cm="1">
        <f t="array" ref="R753">_xlfn.IFS(Q753&gt;40%,"Alta",Q753&gt;20%,"Média",Q753&lt;20%,"Baixa")</f>
        <v>Média</v>
      </c>
    </row>
    <row r="754" spans="1:18" x14ac:dyDescent="0.25">
      <c r="A754" s="5">
        <v>980</v>
      </c>
      <c r="B754" s="6">
        <v>45782</v>
      </c>
      <c r="C754" s="8" t="s">
        <v>34</v>
      </c>
      <c r="D754" s="8" t="s">
        <v>45</v>
      </c>
      <c r="E754" s="8" t="s">
        <v>25</v>
      </c>
      <c r="F754" s="5">
        <v>8176</v>
      </c>
      <c r="G754" s="8" t="s">
        <v>36</v>
      </c>
      <c r="H754" s="8" t="s">
        <v>20</v>
      </c>
      <c r="I754" s="5">
        <v>15</v>
      </c>
      <c r="J754" s="10">
        <v>619</v>
      </c>
      <c r="K754" s="10">
        <v>9285</v>
      </c>
      <c r="L754" s="10">
        <v>6410.85</v>
      </c>
      <c r="M754" s="10">
        <v>2874.15</v>
      </c>
      <c r="N754" s="8" t="s">
        <v>32</v>
      </c>
      <c r="O754" s="8" t="s">
        <v>33</v>
      </c>
      <c r="P754" s="8" t="s">
        <v>23</v>
      </c>
      <c r="Q754" s="3">
        <f t="shared" si="12"/>
        <v>0.30954765751211633</v>
      </c>
      <c r="R754" s="8" t="str" cm="1">
        <f t="array" ref="R754">_xlfn.IFS(Q754&gt;40%,"Alta",Q754&gt;20%,"Média",Q754&lt;20%,"Baixa")</f>
        <v>Média</v>
      </c>
    </row>
    <row r="755" spans="1:18" x14ac:dyDescent="0.25">
      <c r="A755" s="5">
        <v>130</v>
      </c>
      <c r="B755" s="6">
        <v>45823</v>
      </c>
      <c r="C755" s="8" t="s">
        <v>34</v>
      </c>
      <c r="D755" s="8" t="s">
        <v>42</v>
      </c>
      <c r="E755" s="8" t="s">
        <v>37</v>
      </c>
      <c r="F755" s="5">
        <v>9718</v>
      </c>
      <c r="G755" s="8" t="s">
        <v>26</v>
      </c>
      <c r="H755" s="8" t="s">
        <v>38</v>
      </c>
      <c r="I755" s="5">
        <v>9</v>
      </c>
      <c r="J755" s="10">
        <v>1030</v>
      </c>
      <c r="K755" s="10">
        <v>9270</v>
      </c>
      <c r="L755" s="10">
        <v>6106.9</v>
      </c>
      <c r="M755" s="10">
        <v>3163.1</v>
      </c>
      <c r="N755" s="8" t="s">
        <v>21</v>
      </c>
      <c r="O755" s="8" t="s">
        <v>22</v>
      </c>
      <c r="P755" s="8" t="s">
        <v>46</v>
      </c>
      <c r="Q755" s="3">
        <f t="shared" si="12"/>
        <v>0.34121898597626754</v>
      </c>
      <c r="R755" s="8" t="str" cm="1">
        <f t="array" ref="R755">_xlfn.IFS(Q755&gt;40%,"Alta",Q755&gt;20%,"Média",Q755&lt;20%,"Baixa")</f>
        <v>Média</v>
      </c>
    </row>
    <row r="756" spans="1:18" x14ac:dyDescent="0.25">
      <c r="A756" s="5">
        <v>448</v>
      </c>
      <c r="B756" s="6">
        <v>45660</v>
      </c>
      <c r="C756" s="8" t="s">
        <v>24</v>
      </c>
      <c r="D756" s="8" t="s">
        <v>17</v>
      </c>
      <c r="E756" s="8" t="s">
        <v>37</v>
      </c>
      <c r="F756" s="5">
        <v>9242</v>
      </c>
      <c r="G756" s="8" t="s">
        <v>36</v>
      </c>
      <c r="H756" s="8" t="s">
        <v>31</v>
      </c>
      <c r="I756" s="5">
        <v>2</v>
      </c>
      <c r="J756" s="10">
        <v>4633</v>
      </c>
      <c r="K756" s="10">
        <v>9266</v>
      </c>
      <c r="L756" s="10">
        <v>3750.56</v>
      </c>
      <c r="M756" s="10">
        <v>5515.44</v>
      </c>
      <c r="N756" s="8" t="s">
        <v>28</v>
      </c>
      <c r="O756" s="8" t="s">
        <v>39</v>
      </c>
      <c r="P756" s="8" t="s">
        <v>46</v>
      </c>
      <c r="Q756" s="3">
        <f t="shared" si="12"/>
        <v>0.5952341895100367</v>
      </c>
      <c r="R756" s="8" t="str" cm="1">
        <f t="array" ref="R756">_xlfn.IFS(Q756&gt;40%,"Alta",Q756&gt;20%,"Média",Q756&lt;20%,"Baixa")</f>
        <v>Alta</v>
      </c>
    </row>
    <row r="757" spans="1:18" x14ac:dyDescent="0.25">
      <c r="A757" s="5">
        <v>265</v>
      </c>
      <c r="B757" s="6">
        <v>45702</v>
      </c>
      <c r="C757" s="8" t="s">
        <v>16</v>
      </c>
      <c r="D757" s="8" t="s">
        <v>30</v>
      </c>
      <c r="E757" s="8" t="s">
        <v>41</v>
      </c>
      <c r="F757" s="5">
        <v>3405</v>
      </c>
      <c r="G757" s="8" t="s">
        <v>19</v>
      </c>
      <c r="H757" s="8" t="s">
        <v>43</v>
      </c>
      <c r="I757" s="5">
        <v>3</v>
      </c>
      <c r="J757" s="10">
        <v>3077</v>
      </c>
      <c r="K757" s="10">
        <v>9231</v>
      </c>
      <c r="L757" s="10">
        <v>4283.82</v>
      </c>
      <c r="M757" s="10">
        <v>4947.18</v>
      </c>
      <c r="N757" s="8" t="s">
        <v>32</v>
      </c>
      <c r="O757" s="8" t="s">
        <v>39</v>
      </c>
      <c r="P757" s="8" t="s">
        <v>23</v>
      </c>
      <c r="Q757" s="3">
        <f t="shared" si="12"/>
        <v>0.53593110172245695</v>
      </c>
      <c r="R757" s="8" t="str" cm="1">
        <f t="array" ref="R757">_xlfn.IFS(Q757&gt;40%,"Alta",Q757&gt;20%,"Média",Q757&lt;20%,"Baixa")</f>
        <v>Alta</v>
      </c>
    </row>
    <row r="758" spans="1:18" x14ac:dyDescent="0.25">
      <c r="A758" s="5">
        <v>452</v>
      </c>
      <c r="B758" s="6">
        <v>45751</v>
      </c>
      <c r="C758" s="8" t="s">
        <v>16</v>
      </c>
      <c r="D758" s="8" t="s">
        <v>45</v>
      </c>
      <c r="E758" s="8" t="s">
        <v>25</v>
      </c>
      <c r="F758" s="5">
        <v>6227</v>
      </c>
      <c r="G758" s="8" t="s">
        <v>26</v>
      </c>
      <c r="H758" s="8" t="s">
        <v>31</v>
      </c>
      <c r="I758" s="5">
        <v>11</v>
      </c>
      <c r="J758" s="10">
        <v>828</v>
      </c>
      <c r="K758" s="10">
        <v>9108</v>
      </c>
      <c r="L758" s="10">
        <v>5793.52</v>
      </c>
      <c r="M758" s="10">
        <v>3314.48</v>
      </c>
      <c r="N758" s="8" t="s">
        <v>28</v>
      </c>
      <c r="O758" s="8" t="s">
        <v>22</v>
      </c>
      <c r="P758" s="8" t="s">
        <v>23</v>
      </c>
      <c r="Q758" s="3">
        <f t="shared" si="12"/>
        <v>0.36390865173473869</v>
      </c>
      <c r="R758" s="8" t="str" cm="1">
        <f t="array" ref="R758">_xlfn.IFS(Q758&gt;40%,"Alta",Q758&gt;20%,"Média",Q758&lt;20%,"Baixa")</f>
        <v>Média</v>
      </c>
    </row>
    <row r="759" spans="1:18" x14ac:dyDescent="0.25">
      <c r="A759" s="5">
        <v>284</v>
      </c>
      <c r="B759" s="6">
        <v>45813</v>
      </c>
      <c r="C759" s="8" t="s">
        <v>16</v>
      </c>
      <c r="D759" s="8" t="s">
        <v>35</v>
      </c>
      <c r="E759" s="8" t="s">
        <v>37</v>
      </c>
      <c r="F759" s="5">
        <v>1118</v>
      </c>
      <c r="G759" s="8" t="s">
        <v>36</v>
      </c>
      <c r="H759" s="8" t="s">
        <v>27</v>
      </c>
      <c r="I759" s="5">
        <v>16</v>
      </c>
      <c r="J759" s="10">
        <v>567</v>
      </c>
      <c r="K759" s="10">
        <v>9072</v>
      </c>
      <c r="L759" s="10">
        <v>5203.57</v>
      </c>
      <c r="M759" s="10">
        <v>3868.43</v>
      </c>
      <c r="N759" s="8" t="s">
        <v>28</v>
      </c>
      <c r="O759" s="8" t="s">
        <v>33</v>
      </c>
      <c r="P759" s="8" t="s">
        <v>40</v>
      </c>
      <c r="Q759" s="3">
        <f t="shared" si="12"/>
        <v>0.42641424162257496</v>
      </c>
      <c r="R759" s="8" t="str" cm="1">
        <f t="array" ref="R759">_xlfn.IFS(Q759&gt;40%,"Alta",Q759&gt;20%,"Média",Q759&lt;20%,"Baixa")</f>
        <v>Alta</v>
      </c>
    </row>
    <row r="760" spans="1:18" x14ac:dyDescent="0.25">
      <c r="A760" s="5">
        <v>894</v>
      </c>
      <c r="B760" s="6">
        <v>45758</v>
      </c>
      <c r="C760" s="8" t="s">
        <v>16</v>
      </c>
      <c r="D760" s="8" t="s">
        <v>30</v>
      </c>
      <c r="E760" s="8" t="s">
        <v>41</v>
      </c>
      <c r="F760" s="5">
        <v>4880</v>
      </c>
      <c r="G760" s="8" t="s">
        <v>19</v>
      </c>
      <c r="H760" s="8" t="s">
        <v>38</v>
      </c>
      <c r="I760" s="5">
        <v>18</v>
      </c>
      <c r="J760" s="10">
        <v>503</v>
      </c>
      <c r="K760" s="10">
        <v>9054</v>
      </c>
      <c r="L760" s="10">
        <v>4300.3999999999996</v>
      </c>
      <c r="M760" s="10">
        <v>4753.6000000000004</v>
      </c>
      <c r="N760" s="8" t="s">
        <v>28</v>
      </c>
      <c r="O760" s="8" t="s">
        <v>33</v>
      </c>
      <c r="P760" s="8" t="s">
        <v>29</v>
      </c>
      <c r="Q760" s="3">
        <f t="shared" si="12"/>
        <v>0.52502761210514692</v>
      </c>
      <c r="R760" s="8" t="str" cm="1">
        <f t="array" ref="R760">_xlfn.IFS(Q760&gt;40%,"Alta",Q760&gt;20%,"Média",Q760&lt;20%,"Baixa")</f>
        <v>Alta</v>
      </c>
    </row>
    <row r="761" spans="1:18" x14ac:dyDescent="0.25">
      <c r="A761" s="5">
        <v>602</v>
      </c>
      <c r="B761" s="6">
        <v>45773</v>
      </c>
      <c r="C761" s="8" t="s">
        <v>34</v>
      </c>
      <c r="D761" s="8" t="s">
        <v>42</v>
      </c>
      <c r="E761" s="8" t="s">
        <v>18</v>
      </c>
      <c r="F761" s="5">
        <v>6665</v>
      </c>
      <c r="G761" s="8" t="s">
        <v>19</v>
      </c>
      <c r="H761" s="8" t="s">
        <v>43</v>
      </c>
      <c r="I761" s="5">
        <v>4</v>
      </c>
      <c r="J761" s="10">
        <v>2259</v>
      </c>
      <c r="K761" s="10">
        <v>9036</v>
      </c>
      <c r="L761" s="10">
        <v>5233.88</v>
      </c>
      <c r="M761" s="10">
        <v>3802.12</v>
      </c>
      <c r="N761" s="8" t="s">
        <v>21</v>
      </c>
      <c r="O761" s="8" t="s">
        <v>33</v>
      </c>
      <c r="P761" s="8" t="s">
        <v>40</v>
      </c>
      <c r="Q761" s="3">
        <f t="shared" si="12"/>
        <v>0.42077467906153165</v>
      </c>
      <c r="R761" s="8" t="str" cm="1">
        <f t="array" ref="R761">_xlfn.IFS(Q761&gt;40%,"Alta",Q761&gt;20%,"Média",Q761&lt;20%,"Baixa")</f>
        <v>Alta</v>
      </c>
    </row>
    <row r="762" spans="1:18" x14ac:dyDescent="0.25">
      <c r="A762" s="5">
        <v>778</v>
      </c>
      <c r="B762" s="6">
        <v>45684</v>
      </c>
      <c r="C762" s="8" t="s">
        <v>16</v>
      </c>
      <c r="D762" s="8" t="s">
        <v>42</v>
      </c>
      <c r="E762" s="8" t="s">
        <v>18</v>
      </c>
      <c r="F762" s="5">
        <v>8980</v>
      </c>
      <c r="G762" s="8" t="s">
        <v>36</v>
      </c>
      <c r="H762" s="8" t="s">
        <v>31</v>
      </c>
      <c r="I762" s="5">
        <v>2</v>
      </c>
      <c r="J762" s="10">
        <v>4496</v>
      </c>
      <c r="K762" s="10">
        <v>8992</v>
      </c>
      <c r="L762" s="10">
        <v>5806.83</v>
      </c>
      <c r="M762" s="10">
        <v>3185.17</v>
      </c>
      <c r="N762" s="8" t="s">
        <v>21</v>
      </c>
      <c r="O762" s="8" t="s">
        <v>39</v>
      </c>
      <c r="P762" s="8" t="s">
        <v>46</v>
      </c>
      <c r="Q762" s="3">
        <f t="shared" si="12"/>
        <v>0.35422264234875445</v>
      </c>
      <c r="R762" s="8" t="str" cm="1">
        <f t="array" ref="R762">_xlfn.IFS(Q762&gt;40%,"Alta",Q762&gt;20%,"Média",Q762&lt;20%,"Baixa")</f>
        <v>Média</v>
      </c>
    </row>
    <row r="763" spans="1:18" x14ac:dyDescent="0.25">
      <c r="A763" s="5">
        <v>270</v>
      </c>
      <c r="B763" s="6">
        <v>45671</v>
      </c>
      <c r="C763" s="8" t="s">
        <v>24</v>
      </c>
      <c r="D763" s="8" t="s">
        <v>17</v>
      </c>
      <c r="E763" s="8" t="s">
        <v>37</v>
      </c>
      <c r="F763" s="5">
        <v>7886</v>
      </c>
      <c r="G763" s="8" t="s">
        <v>19</v>
      </c>
      <c r="H763" s="8" t="s">
        <v>43</v>
      </c>
      <c r="I763" s="5">
        <v>20</v>
      </c>
      <c r="J763" s="10">
        <v>448</v>
      </c>
      <c r="K763" s="10">
        <v>8960</v>
      </c>
      <c r="L763" s="10">
        <v>3921.95</v>
      </c>
      <c r="M763" s="10">
        <v>5038.05</v>
      </c>
      <c r="N763" s="8" t="s">
        <v>28</v>
      </c>
      <c r="O763" s="8" t="s">
        <v>22</v>
      </c>
      <c r="P763" s="8" t="s">
        <v>44</v>
      </c>
      <c r="Q763" s="3">
        <f t="shared" si="12"/>
        <v>0.56228236607142856</v>
      </c>
      <c r="R763" s="8" t="str" cm="1">
        <f t="array" ref="R763">_xlfn.IFS(Q763&gt;40%,"Alta",Q763&gt;20%,"Média",Q763&lt;20%,"Baixa")</f>
        <v>Alta</v>
      </c>
    </row>
    <row r="764" spans="1:18" x14ac:dyDescent="0.25">
      <c r="A764" s="5">
        <v>759</v>
      </c>
      <c r="B764" s="6">
        <v>45698</v>
      </c>
      <c r="C764" s="8" t="s">
        <v>34</v>
      </c>
      <c r="D764" s="8" t="s">
        <v>42</v>
      </c>
      <c r="E764" s="8" t="s">
        <v>25</v>
      </c>
      <c r="F764" s="5">
        <v>6626</v>
      </c>
      <c r="G764" s="8" t="s">
        <v>36</v>
      </c>
      <c r="H764" s="8" t="s">
        <v>27</v>
      </c>
      <c r="I764" s="5">
        <v>3</v>
      </c>
      <c r="J764" s="10">
        <v>2985</v>
      </c>
      <c r="K764" s="10">
        <v>8955</v>
      </c>
      <c r="L764" s="10">
        <v>6466.49</v>
      </c>
      <c r="M764" s="10">
        <v>2488.5100000000002</v>
      </c>
      <c r="N764" s="8" t="s">
        <v>32</v>
      </c>
      <c r="O764" s="8" t="s">
        <v>33</v>
      </c>
      <c r="P764" s="8" t="s">
        <v>29</v>
      </c>
      <c r="Q764" s="3">
        <f t="shared" si="12"/>
        <v>0.27789056393076494</v>
      </c>
      <c r="R764" s="8" t="str" cm="1">
        <f t="array" ref="R764">_xlfn.IFS(Q764&gt;40%,"Alta",Q764&gt;20%,"Média",Q764&lt;20%,"Baixa")</f>
        <v>Média</v>
      </c>
    </row>
    <row r="765" spans="1:18" x14ac:dyDescent="0.25">
      <c r="A765" s="5">
        <v>129</v>
      </c>
      <c r="B765" s="6">
        <v>45714</v>
      </c>
      <c r="C765" s="8" t="s">
        <v>24</v>
      </c>
      <c r="D765" s="8" t="s">
        <v>45</v>
      </c>
      <c r="E765" s="8" t="s">
        <v>18</v>
      </c>
      <c r="F765" s="5">
        <v>6479</v>
      </c>
      <c r="G765" s="8" t="s">
        <v>26</v>
      </c>
      <c r="H765" s="8" t="s">
        <v>38</v>
      </c>
      <c r="I765" s="5">
        <v>4</v>
      </c>
      <c r="J765" s="10">
        <v>2236</v>
      </c>
      <c r="K765" s="10">
        <v>8944</v>
      </c>
      <c r="L765" s="10">
        <v>5441.14</v>
      </c>
      <c r="M765" s="10">
        <v>3502.86</v>
      </c>
      <c r="N765" s="8" t="s">
        <v>32</v>
      </c>
      <c r="O765" s="8" t="s">
        <v>22</v>
      </c>
      <c r="P765" s="8" t="s">
        <v>23</v>
      </c>
      <c r="Q765" s="3">
        <f t="shared" si="12"/>
        <v>0.39164355992844369</v>
      </c>
      <c r="R765" s="8" t="str" cm="1">
        <f t="array" ref="R765">_xlfn.IFS(Q765&gt;40%,"Alta",Q765&gt;20%,"Média",Q765&lt;20%,"Baixa")</f>
        <v>Média</v>
      </c>
    </row>
    <row r="766" spans="1:18" x14ac:dyDescent="0.25">
      <c r="A766" s="5">
        <v>998</v>
      </c>
      <c r="B766" s="6">
        <v>45717</v>
      </c>
      <c r="C766" s="8" t="s">
        <v>47</v>
      </c>
      <c r="D766" s="8" t="s">
        <v>30</v>
      </c>
      <c r="E766" s="8" t="s">
        <v>37</v>
      </c>
      <c r="F766" s="5">
        <v>2471</v>
      </c>
      <c r="G766" s="8" t="s">
        <v>36</v>
      </c>
      <c r="H766" s="8" t="s">
        <v>27</v>
      </c>
      <c r="I766" s="5">
        <v>5</v>
      </c>
      <c r="J766" s="10">
        <v>1788</v>
      </c>
      <c r="K766" s="10">
        <v>8940</v>
      </c>
      <c r="L766" s="10">
        <v>6336.62</v>
      </c>
      <c r="M766" s="10">
        <v>2603.38</v>
      </c>
      <c r="N766" s="8" t="s">
        <v>21</v>
      </c>
      <c r="O766" s="8" t="s">
        <v>22</v>
      </c>
      <c r="P766" s="8" t="s">
        <v>29</v>
      </c>
      <c r="Q766" s="3">
        <f t="shared" si="12"/>
        <v>0.29120581655480987</v>
      </c>
      <c r="R766" s="8" t="str" cm="1">
        <f t="array" ref="R766">_xlfn.IFS(Q766&gt;40%,"Alta",Q766&gt;20%,"Média",Q766&lt;20%,"Baixa")</f>
        <v>Média</v>
      </c>
    </row>
    <row r="767" spans="1:18" x14ac:dyDescent="0.25">
      <c r="A767" s="5">
        <v>978</v>
      </c>
      <c r="B767" s="6">
        <v>45771</v>
      </c>
      <c r="C767" s="8" t="s">
        <v>47</v>
      </c>
      <c r="D767" s="8" t="s">
        <v>35</v>
      </c>
      <c r="E767" s="8" t="s">
        <v>18</v>
      </c>
      <c r="F767" s="5">
        <v>5205</v>
      </c>
      <c r="G767" s="8" t="s">
        <v>36</v>
      </c>
      <c r="H767" s="8" t="s">
        <v>43</v>
      </c>
      <c r="I767" s="5">
        <v>3</v>
      </c>
      <c r="J767" s="10">
        <v>2965</v>
      </c>
      <c r="K767" s="10">
        <v>8895</v>
      </c>
      <c r="L767" s="10">
        <v>4120.8</v>
      </c>
      <c r="M767" s="10">
        <v>4774.2</v>
      </c>
      <c r="N767" s="8" t="s">
        <v>21</v>
      </c>
      <c r="O767" s="8" t="s">
        <v>39</v>
      </c>
      <c r="P767" s="8" t="s">
        <v>44</v>
      </c>
      <c r="Q767" s="3">
        <f t="shared" si="12"/>
        <v>0.53672849915682963</v>
      </c>
      <c r="R767" s="8" t="str" cm="1">
        <f t="array" ref="R767">_xlfn.IFS(Q767&gt;40%,"Alta",Q767&gt;20%,"Média",Q767&lt;20%,"Baixa")</f>
        <v>Alta</v>
      </c>
    </row>
    <row r="768" spans="1:18" x14ac:dyDescent="0.25">
      <c r="A768" s="5">
        <v>736</v>
      </c>
      <c r="B768" s="6">
        <v>45747</v>
      </c>
      <c r="C768" s="8" t="s">
        <v>34</v>
      </c>
      <c r="D768" s="8" t="s">
        <v>42</v>
      </c>
      <c r="E768" s="8" t="s">
        <v>41</v>
      </c>
      <c r="F768" s="5">
        <v>5104</v>
      </c>
      <c r="G768" s="8" t="s">
        <v>26</v>
      </c>
      <c r="H768" s="8" t="s">
        <v>43</v>
      </c>
      <c r="I768" s="5">
        <v>3</v>
      </c>
      <c r="J768" s="10">
        <v>2949</v>
      </c>
      <c r="K768" s="10">
        <v>8847</v>
      </c>
      <c r="L768" s="10">
        <v>4075.57</v>
      </c>
      <c r="M768" s="10">
        <v>4771.43</v>
      </c>
      <c r="N768" s="8" t="s">
        <v>28</v>
      </c>
      <c r="O768" s="8" t="s">
        <v>33</v>
      </c>
      <c r="P768" s="8" t="s">
        <v>46</v>
      </c>
      <c r="Q768" s="3">
        <f t="shared" si="12"/>
        <v>0.53932745563467843</v>
      </c>
      <c r="R768" s="8" t="str" cm="1">
        <f t="array" ref="R768">_xlfn.IFS(Q768&gt;40%,"Alta",Q768&gt;20%,"Média",Q768&lt;20%,"Baixa")</f>
        <v>Alta</v>
      </c>
    </row>
    <row r="769" spans="1:18" x14ac:dyDescent="0.25">
      <c r="A769" s="5">
        <v>49</v>
      </c>
      <c r="B769" s="6">
        <v>45735</v>
      </c>
      <c r="C769" s="8" t="s">
        <v>47</v>
      </c>
      <c r="D769" s="8" t="s">
        <v>35</v>
      </c>
      <c r="E769" s="8" t="s">
        <v>37</v>
      </c>
      <c r="F769" s="5">
        <v>6488</v>
      </c>
      <c r="G769" s="8" t="s">
        <v>19</v>
      </c>
      <c r="H769" s="8" t="s">
        <v>27</v>
      </c>
      <c r="I769" s="5">
        <v>8</v>
      </c>
      <c r="J769" s="10">
        <v>1096</v>
      </c>
      <c r="K769" s="10">
        <v>8768</v>
      </c>
      <c r="L769" s="10">
        <v>7006.73</v>
      </c>
      <c r="M769" s="10">
        <v>1761.27</v>
      </c>
      <c r="N769" s="8" t="s">
        <v>21</v>
      </c>
      <c r="O769" s="8" t="s">
        <v>22</v>
      </c>
      <c r="P769" s="8" t="s">
        <v>40</v>
      </c>
      <c r="Q769" s="3">
        <f t="shared" si="12"/>
        <v>0.20087477189781022</v>
      </c>
      <c r="R769" s="8" t="str" cm="1">
        <f t="array" ref="R769">_xlfn.IFS(Q769&gt;40%,"Alta",Q769&gt;20%,"Média",Q769&lt;20%,"Baixa")</f>
        <v>Média</v>
      </c>
    </row>
    <row r="770" spans="1:18" x14ac:dyDescent="0.25">
      <c r="A770" s="5">
        <v>608</v>
      </c>
      <c r="B770" s="6">
        <v>45790</v>
      </c>
      <c r="C770" s="8" t="s">
        <v>16</v>
      </c>
      <c r="D770" s="8" t="s">
        <v>42</v>
      </c>
      <c r="E770" s="8" t="s">
        <v>25</v>
      </c>
      <c r="F770" s="5">
        <v>7376</v>
      </c>
      <c r="G770" s="8" t="s">
        <v>19</v>
      </c>
      <c r="H770" s="8" t="s">
        <v>38</v>
      </c>
      <c r="I770" s="5">
        <v>7</v>
      </c>
      <c r="J770" s="10">
        <v>1246</v>
      </c>
      <c r="K770" s="10">
        <v>8722</v>
      </c>
      <c r="L770" s="10">
        <v>4094.1</v>
      </c>
      <c r="M770" s="10">
        <v>4627.8999999999996</v>
      </c>
      <c r="N770" s="8" t="s">
        <v>21</v>
      </c>
      <c r="O770" s="8" t="s">
        <v>22</v>
      </c>
      <c r="P770" s="8" t="s">
        <v>23</v>
      </c>
      <c r="Q770" s="3">
        <f t="shared" ref="Q770:Q833" si="13">M770/K770</f>
        <v>0.53060077963769769</v>
      </c>
      <c r="R770" s="8" t="str" cm="1">
        <f t="array" ref="R770">_xlfn.IFS(Q770&gt;40%,"Alta",Q770&gt;20%,"Média",Q770&lt;20%,"Baixa")</f>
        <v>Alta</v>
      </c>
    </row>
    <row r="771" spans="1:18" x14ac:dyDescent="0.25">
      <c r="A771" s="5">
        <v>231</v>
      </c>
      <c r="B771" s="6">
        <v>45679</v>
      </c>
      <c r="C771" s="8" t="s">
        <v>16</v>
      </c>
      <c r="D771" s="8" t="s">
        <v>42</v>
      </c>
      <c r="E771" s="8" t="s">
        <v>41</v>
      </c>
      <c r="F771" s="5">
        <v>7354</v>
      </c>
      <c r="G771" s="8" t="s">
        <v>26</v>
      </c>
      <c r="H771" s="8" t="s">
        <v>38</v>
      </c>
      <c r="I771" s="5">
        <v>2</v>
      </c>
      <c r="J771" s="10">
        <v>4359</v>
      </c>
      <c r="K771" s="10">
        <v>8718</v>
      </c>
      <c r="L771" s="10">
        <v>6395.62</v>
      </c>
      <c r="M771" s="10">
        <v>2322.38</v>
      </c>
      <c r="N771" s="8" t="s">
        <v>28</v>
      </c>
      <c r="O771" s="8" t="s">
        <v>33</v>
      </c>
      <c r="P771" s="8" t="s">
        <v>46</v>
      </c>
      <c r="Q771" s="3">
        <f t="shared" si="13"/>
        <v>0.26638908006423495</v>
      </c>
      <c r="R771" s="8" t="str" cm="1">
        <f t="array" ref="R771">_xlfn.IFS(Q771&gt;40%,"Alta",Q771&gt;20%,"Média",Q771&lt;20%,"Baixa")</f>
        <v>Média</v>
      </c>
    </row>
    <row r="772" spans="1:18" x14ac:dyDescent="0.25">
      <c r="A772" s="5">
        <v>927</v>
      </c>
      <c r="B772" s="6">
        <v>45783</v>
      </c>
      <c r="C772" s="8" t="s">
        <v>34</v>
      </c>
      <c r="D772" s="8" t="s">
        <v>42</v>
      </c>
      <c r="E772" s="8" t="s">
        <v>25</v>
      </c>
      <c r="F772" s="5">
        <v>7639</v>
      </c>
      <c r="G772" s="8" t="s">
        <v>26</v>
      </c>
      <c r="H772" s="8" t="s">
        <v>27</v>
      </c>
      <c r="I772" s="5">
        <v>2</v>
      </c>
      <c r="J772" s="10">
        <v>4349</v>
      </c>
      <c r="K772" s="10">
        <v>8698</v>
      </c>
      <c r="L772" s="10">
        <v>4255.17</v>
      </c>
      <c r="M772" s="10">
        <v>4442.83</v>
      </c>
      <c r="N772" s="8" t="s">
        <v>28</v>
      </c>
      <c r="O772" s="8" t="s">
        <v>33</v>
      </c>
      <c r="P772" s="8" t="s">
        <v>44</v>
      </c>
      <c r="Q772" s="3">
        <f t="shared" si="13"/>
        <v>0.51078753736491145</v>
      </c>
      <c r="R772" s="8" t="str" cm="1">
        <f t="array" ref="R772">_xlfn.IFS(Q772&gt;40%,"Alta",Q772&gt;20%,"Média",Q772&lt;20%,"Baixa")</f>
        <v>Alta</v>
      </c>
    </row>
    <row r="773" spans="1:18" x14ac:dyDescent="0.25">
      <c r="A773" s="5">
        <v>60</v>
      </c>
      <c r="B773" s="6">
        <v>45682</v>
      </c>
      <c r="C773" s="8" t="s">
        <v>47</v>
      </c>
      <c r="D773" s="8" t="s">
        <v>35</v>
      </c>
      <c r="E773" s="8" t="s">
        <v>18</v>
      </c>
      <c r="F773" s="5">
        <v>5688</v>
      </c>
      <c r="G773" s="8" t="s">
        <v>36</v>
      </c>
      <c r="H773" s="8" t="s">
        <v>27</v>
      </c>
      <c r="I773" s="5">
        <v>20</v>
      </c>
      <c r="J773" s="10">
        <v>433</v>
      </c>
      <c r="K773" s="10">
        <v>8660</v>
      </c>
      <c r="L773" s="10">
        <v>5830.19</v>
      </c>
      <c r="M773" s="10">
        <v>2829.81</v>
      </c>
      <c r="N773" s="8" t="s">
        <v>32</v>
      </c>
      <c r="O773" s="8" t="s">
        <v>33</v>
      </c>
      <c r="P773" s="8" t="s">
        <v>23</v>
      </c>
      <c r="Q773" s="3">
        <f t="shared" si="13"/>
        <v>0.32676789838337184</v>
      </c>
      <c r="R773" s="8" t="str" cm="1">
        <f t="array" ref="R773">_xlfn.IFS(Q773&gt;40%,"Alta",Q773&gt;20%,"Média",Q773&lt;20%,"Baixa")</f>
        <v>Média</v>
      </c>
    </row>
    <row r="774" spans="1:18" x14ac:dyDescent="0.25">
      <c r="A774" s="5">
        <v>66</v>
      </c>
      <c r="B774" s="6">
        <v>45740</v>
      </c>
      <c r="C774" s="8" t="s">
        <v>16</v>
      </c>
      <c r="D774" s="8" t="s">
        <v>30</v>
      </c>
      <c r="E774" s="8" t="s">
        <v>25</v>
      </c>
      <c r="F774" s="5">
        <v>7790</v>
      </c>
      <c r="G774" s="8" t="s">
        <v>19</v>
      </c>
      <c r="H774" s="8" t="s">
        <v>20</v>
      </c>
      <c r="I774" s="5">
        <v>6</v>
      </c>
      <c r="J774" s="10">
        <v>1442</v>
      </c>
      <c r="K774" s="10">
        <v>8652</v>
      </c>
      <c r="L774" s="10">
        <v>6528.68</v>
      </c>
      <c r="M774" s="10">
        <v>2123.3200000000002</v>
      </c>
      <c r="N774" s="8" t="s">
        <v>32</v>
      </c>
      <c r="O774" s="8" t="s">
        <v>22</v>
      </c>
      <c r="P774" s="8" t="s">
        <v>46</v>
      </c>
      <c r="Q774" s="3">
        <f t="shared" si="13"/>
        <v>0.24541377716134999</v>
      </c>
      <c r="R774" s="8" t="str" cm="1">
        <f t="array" ref="R774">_xlfn.IFS(Q774&gt;40%,"Alta",Q774&gt;20%,"Média",Q774&lt;20%,"Baixa")</f>
        <v>Média</v>
      </c>
    </row>
    <row r="775" spans="1:18" x14ac:dyDescent="0.25">
      <c r="A775" s="5">
        <v>1</v>
      </c>
      <c r="B775" s="6">
        <v>45770</v>
      </c>
      <c r="C775" s="8" t="s">
        <v>16</v>
      </c>
      <c r="D775" s="8" t="s">
        <v>17</v>
      </c>
      <c r="E775" s="8" t="s">
        <v>18</v>
      </c>
      <c r="F775" s="5">
        <v>4106</v>
      </c>
      <c r="G775" s="8" t="s">
        <v>19</v>
      </c>
      <c r="H775" s="8" t="s">
        <v>20</v>
      </c>
      <c r="I775" s="5">
        <v>3</v>
      </c>
      <c r="J775" s="10">
        <v>2872</v>
      </c>
      <c r="K775" s="10">
        <v>8616</v>
      </c>
      <c r="L775" s="10">
        <v>5053.9799999999996</v>
      </c>
      <c r="M775" s="10">
        <v>3562.02</v>
      </c>
      <c r="N775" s="8" t="s">
        <v>21</v>
      </c>
      <c r="O775" s="8" t="s">
        <v>22</v>
      </c>
      <c r="P775" s="8" t="s">
        <v>23</v>
      </c>
      <c r="Q775" s="3">
        <f t="shared" si="13"/>
        <v>0.4134192200557103</v>
      </c>
      <c r="R775" s="8" t="str" cm="1">
        <f t="array" ref="R775">_xlfn.IFS(Q775&gt;40%,"Alta",Q775&gt;20%,"Média",Q775&lt;20%,"Baixa")</f>
        <v>Alta</v>
      </c>
    </row>
    <row r="776" spans="1:18" x14ac:dyDescent="0.25">
      <c r="A776" s="5">
        <v>635</v>
      </c>
      <c r="B776" s="6">
        <v>45718</v>
      </c>
      <c r="C776" s="8" t="s">
        <v>47</v>
      </c>
      <c r="D776" s="8" t="s">
        <v>45</v>
      </c>
      <c r="E776" s="8" t="s">
        <v>41</v>
      </c>
      <c r="F776" s="5">
        <v>7024</v>
      </c>
      <c r="G776" s="8" t="s">
        <v>26</v>
      </c>
      <c r="H776" s="8" t="s">
        <v>43</v>
      </c>
      <c r="I776" s="5">
        <v>3</v>
      </c>
      <c r="J776" s="10">
        <v>2860</v>
      </c>
      <c r="K776" s="10">
        <v>8580</v>
      </c>
      <c r="L776" s="10">
        <v>4473.4399999999996</v>
      </c>
      <c r="M776" s="10">
        <v>4106.5600000000004</v>
      </c>
      <c r="N776" s="8" t="s">
        <v>32</v>
      </c>
      <c r="O776" s="8" t="s">
        <v>22</v>
      </c>
      <c r="P776" s="8" t="s">
        <v>44</v>
      </c>
      <c r="Q776" s="3">
        <f t="shared" si="13"/>
        <v>0.47862004662004665</v>
      </c>
      <c r="R776" s="8" t="str" cm="1">
        <f t="array" ref="R776">_xlfn.IFS(Q776&gt;40%,"Alta",Q776&gt;20%,"Média",Q776&lt;20%,"Baixa")</f>
        <v>Alta</v>
      </c>
    </row>
    <row r="777" spans="1:18" x14ac:dyDescent="0.25">
      <c r="A777" s="5">
        <v>69</v>
      </c>
      <c r="B777" s="6">
        <v>45790</v>
      </c>
      <c r="C777" s="8" t="s">
        <v>47</v>
      </c>
      <c r="D777" s="8" t="s">
        <v>45</v>
      </c>
      <c r="E777" s="8" t="s">
        <v>18</v>
      </c>
      <c r="F777" s="5">
        <v>3875</v>
      </c>
      <c r="G777" s="8" t="s">
        <v>36</v>
      </c>
      <c r="H777" s="8" t="s">
        <v>43</v>
      </c>
      <c r="I777" s="5">
        <v>12</v>
      </c>
      <c r="J777" s="10">
        <v>713</v>
      </c>
      <c r="K777" s="10">
        <v>8556</v>
      </c>
      <c r="L777" s="10">
        <v>6778.13</v>
      </c>
      <c r="M777" s="10">
        <v>1777.87</v>
      </c>
      <c r="N777" s="8" t="s">
        <v>28</v>
      </c>
      <c r="O777" s="8" t="s">
        <v>39</v>
      </c>
      <c r="P777" s="8" t="s">
        <v>44</v>
      </c>
      <c r="Q777" s="3">
        <f t="shared" si="13"/>
        <v>0.20779219261337073</v>
      </c>
      <c r="R777" s="8" t="str" cm="1">
        <f t="array" ref="R777">_xlfn.IFS(Q777&gt;40%,"Alta",Q777&gt;20%,"Média",Q777&lt;20%,"Baixa")</f>
        <v>Média</v>
      </c>
    </row>
    <row r="778" spans="1:18" x14ac:dyDescent="0.25">
      <c r="A778" s="5">
        <v>306</v>
      </c>
      <c r="B778" s="6">
        <v>45702</v>
      </c>
      <c r="C778" s="8" t="s">
        <v>24</v>
      </c>
      <c r="D778" s="8" t="s">
        <v>45</v>
      </c>
      <c r="E778" s="8" t="s">
        <v>41</v>
      </c>
      <c r="F778" s="5">
        <v>3625</v>
      </c>
      <c r="G778" s="8" t="s">
        <v>26</v>
      </c>
      <c r="H778" s="8" t="s">
        <v>43</v>
      </c>
      <c r="I778" s="5">
        <v>13</v>
      </c>
      <c r="J778" s="10">
        <v>657</v>
      </c>
      <c r="K778" s="10">
        <v>8541</v>
      </c>
      <c r="L778" s="10">
        <v>3967.62</v>
      </c>
      <c r="M778" s="10">
        <v>4573.38</v>
      </c>
      <c r="N778" s="8" t="s">
        <v>28</v>
      </c>
      <c r="O778" s="8" t="s">
        <v>33</v>
      </c>
      <c r="P778" s="8" t="s">
        <v>29</v>
      </c>
      <c r="Q778" s="3">
        <f t="shared" si="13"/>
        <v>0.53546188970846509</v>
      </c>
      <c r="R778" s="8" t="str" cm="1">
        <f t="array" ref="R778">_xlfn.IFS(Q778&gt;40%,"Alta",Q778&gt;20%,"Média",Q778&lt;20%,"Baixa")</f>
        <v>Alta</v>
      </c>
    </row>
    <row r="779" spans="1:18" x14ac:dyDescent="0.25">
      <c r="A779" s="5">
        <v>760</v>
      </c>
      <c r="B779" s="6">
        <v>45822</v>
      </c>
      <c r="C779" s="8" t="s">
        <v>34</v>
      </c>
      <c r="D779" s="8" t="s">
        <v>30</v>
      </c>
      <c r="E779" s="8" t="s">
        <v>41</v>
      </c>
      <c r="F779" s="5">
        <v>2277</v>
      </c>
      <c r="G779" s="8" t="s">
        <v>36</v>
      </c>
      <c r="H779" s="8" t="s">
        <v>31</v>
      </c>
      <c r="I779" s="5">
        <v>6</v>
      </c>
      <c r="J779" s="10">
        <v>1417</v>
      </c>
      <c r="K779" s="10">
        <v>8502</v>
      </c>
      <c r="L779" s="10">
        <v>3651.79</v>
      </c>
      <c r="M779" s="10">
        <v>4850.21</v>
      </c>
      <c r="N779" s="8" t="s">
        <v>28</v>
      </c>
      <c r="O779" s="8" t="s">
        <v>39</v>
      </c>
      <c r="P779" s="8" t="s">
        <v>44</v>
      </c>
      <c r="Q779" s="3">
        <f t="shared" si="13"/>
        <v>0.57047871089155489</v>
      </c>
      <c r="R779" s="8" t="str" cm="1">
        <f t="array" ref="R779">_xlfn.IFS(Q779&gt;40%,"Alta",Q779&gt;20%,"Média",Q779&lt;20%,"Baixa")</f>
        <v>Alta</v>
      </c>
    </row>
    <row r="780" spans="1:18" x14ac:dyDescent="0.25">
      <c r="A780" s="5">
        <v>6</v>
      </c>
      <c r="B780" s="6">
        <v>45773</v>
      </c>
      <c r="C780" s="8" t="s">
        <v>16</v>
      </c>
      <c r="D780" s="8" t="s">
        <v>30</v>
      </c>
      <c r="E780" s="8" t="s">
        <v>41</v>
      </c>
      <c r="F780" s="5">
        <v>7564</v>
      </c>
      <c r="G780" s="8" t="s">
        <v>36</v>
      </c>
      <c r="H780" s="8" t="s">
        <v>31</v>
      </c>
      <c r="I780" s="5">
        <v>6</v>
      </c>
      <c r="J780" s="10">
        <v>1412</v>
      </c>
      <c r="K780" s="10">
        <v>8472</v>
      </c>
      <c r="L780" s="10">
        <v>6218.1</v>
      </c>
      <c r="M780" s="10">
        <v>2253.9</v>
      </c>
      <c r="N780" s="8" t="s">
        <v>32</v>
      </c>
      <c r="O780" s="8" t="s">
        <v>22</v>
      </c>
      <c r="P780" s="8" t="s">
        <v>29</v>
      </c>
      <c r="Q780" s="3">
        <f t="shared" si="13"/>
        <v>0.26604107648725211</v>
      </c>
      <c r="R780" s="8" t="str" cm="1">
        <f t="array" ref="R780">_xlfn.IFS(Q780&gt;40%,"Alta",Q780&gt;20%,"Média",Q780&lt;20%,"Baixa")</f>
        <v>Média</v>
      </c>
    </row>
    <row r="781" spans="1:18" x14ac:dyDescent="0.25">
      <c r="A781" s="5">
        <v>346</v>
      </c>
      <c r="B781" s="6">
        <v>45798</v>
      </c>
      <c r="C781" s="8" t="s">
        <v>34</v>
      </c>
      <c r="D781" s="8" t="s">
        <v>35</v>
      </c>
      <c r="E781" s="8" t="s">
        <v>41</v>
      </c>
      <c r="F781" s="5">
        <v>3201</v>
      </c>
      <c r="G781" s="8" t="s">
        <v>26</v>
      </c>
      <c r="H781" s="8" t="s">
        <v>20</v>
      </c>
      <c r="I781" s="5">
        <v>7</v>
      </c>
      <c r="J781" s="10">
        <v>1200</v>
      </c>
      <c r="K781" s="10">
        <v>8400</v>
      </c>
      <c r="L781" s="10">
        <v>5202.1899999999996</v>
      </c>
      <c r="M781" s="10">
        <v>3197.81</v>
      </c>
      <c r="N781" s="8" t="s">
        <v>32</v>
      </c>
      <c r="O781" s="8" t="s">
        <v>33</v>
      </c>
      <c r="P781" s="8" t="s">
        <v>23</v>
      </c>
      <c r="Q781" s="3">
        <f t="shared" si="13"/>
        <v>0.38069166666666665</v>
      </c>
      <c r="R781" s="8" t="str" cm="1">
        <f t="array" ref="R781">_xlfn.IFS(Q781&gt;40%,"Alta",Q781&gt;20%,"Média",Q781&lt;20%,"Baixa")</f>
        <v>Média</v>
      </c>
    </row>
    <row r="782" spans="1:18" x14ac:dyDescent="0.25">
      <c r="A782" s="5">
        <v>329</v>
      </c>
      <c r="B782" s="6">
        <v>45729</v>
      </c>
      <c r="C782" s="8" t="s">
        <v>47</v>
      </c>
      <c r="D782" s="8" t="s">
        <v>30</v>
      </c>
      <c r="E782" s="8" t="s">
        <v>41</v>
      </c>
      <c r="F782" s="5">
        <v>4515</v>
      </c>
      <c r="G782" s="8" t="s">
        <v>19</v>
      </c>
      <c r="H782" s="8" t="s">
        <v>38</v>
      </c>
      <c r="I782" s="5">
        <v>12</v>
      </c>
      <c r="J782" s="10">
        <v>694</v>
      </c>
      <c r="K782" s="10">
        <v>8328</v>
      </c>
      <c r="L782" s="10">
        <v>5371.88</v>
      </c>
      <c r="M782" s="10">
        <v>2956.12</v>
      </c>
      <c r="N782" s="8" t="s">
        <v>21</v>
      </c>
      <c r="O782" s="8" t="s">
        <v>33</v>
      </c>
      <c r="P782" s="8" t="s">
        <v>40</v>
      </c>
      <c r="Q782" s="3">
        <f t="shared" si="13"/>
        <v>0.35496157540826129</v>
      </c>
      <c r="R782" s="8" t="str" cm="1">
        <f t="array" ref="R782">_xlfn.IFS(Q782&gt;40%,"Alta",Q782&gt;20%,"Média",Q782&lt;20%,"Baixa")</f>
        <v>Média</v>
      </c>
    </row>
    <row r="783" spans="1:18" x14ac:dyDescent="0.25">
      <c r="A783" s="5">
        <v>954</v>
      </c>
      <c r="B783" s="6">
        <v>45800</v>
      </c>
      <c r="C783" s="8" t="s">
        <v>34</v>
      </c>
      <c r="D783" s="8" t="s">
        <v>45</v>
      </c>
      <c r="E783" s="8" t="s">
        <v>25</v>
      </c>
      <c r="F783" s="5">
        <v>9347</v>
      </c>
      <c r="G783" s="8" t="s">
        <v>19</v>
      </c>
      <c r="H783" s="8" t="s">
        <v>43</v>
      </c>
      <c r="I783" s="5">
        <v>3</v>
      </c>
      <c r="J783" s="10">
        <v>2775</v>
      </c>
      <c r="K783" s="10">
        <v>8325</v>
      </c>
      <c r="L783" s="10">
        <v>5038.83</v>
      </c>
      <c r="M783" s="10">
        <v>3286.17</v>
      </c>
      <c r="N783" s="8" t="s">
        <v>28</v>
      </c>
      <c r="O783" s="8" t="s">
        <v>22</v>
      </c>
      <c r="P783" s="8" t="s">
        <v>46</v>
      </c>
      <c r="Q783" s="3">
        <f t="shared" si="13"/>
        <v>0.39473513513513514</v>
      </c>
      <c r="R783" s="8" t="str" cm="1">
        <f t="array" ref="R783">_xlfn.IFS(Q783&gt;40%,"Alta",Q783&gt;20%,"Média",Q783&lt;20%,"Baixa")</f>
        <v>Média</v>
      </c>
    </row>
    <row r="784" spans="1:18" x14ac:dyDescent="0.25">
      <c r="A784" s="5">
        <v>589</v>
      </c>
      <c r="B784" s="6">
        <v>45703</v>
      </c>
      <c r="C784" s="8" t="s">
        <v>34</v>
      </c>
      <c r="D784" s="8" t="s">
        <v>45</v>
      </c>
      <c r="E784" s="8" t="s">
        <v>18</v>
      </c>
      <c r="F784" s="5">
        <v>7401</v>
      </c>
      <c r="G784" s="8" t="s">
        <v>26</v>
      </c>
      <c r="H784" s="8" t="s">
        <v>31</v>
      </c>
      <c r="I784" s="5">
        <v>10</v>
      </c>
      <c r="J784" s="10">
        <v>829</v>
      </c>
      <c r="K784" s="10">
        <v>8290</v>
      </c>
      <c r="L784" s="10">
        <v>4396.3500000000004</v>
      </c>
      <c r="M784" s="10">
        <v>3893.65</v>
      </c>
      <c r="N784" s="8" t="s">
        <v>21</v>
      </c>
      <c r="O784" s="8" t="s">
        <v>33</v>
      </c>
      <c r="P784" s="8" t="s">
        <v>40</v>
      </c>
      <c r="Q784" s="3">
        <f t="shared" si="13"/>
        <v>0.46968033775633294</v>
      </c>
      <c r="R784" s="8" t="str" cm="1">
        <f t="array" ref="R784">_xlfn.IFS(Q784&gt;40%,"Alta",Q784&gt;20%,"Média",Q784&lt;20%,"Baixa")</f>
        <v>Alta</v>
      </c>
    </row>
    <row r="785" spans="1:18" x14ac:dyDescent="0.25">
      <c r="A785" s="5">
        <v>775</v>
      </c>
      <c r="B785" s="6">
        <v>45662</v>
      </c>
      <c r="C785" s="8" t="s">
        <v>16</v>
      </c>
      <c r="D785" s="8" t="s">
        <v>17</v>
      </c>
      <c r="E785" s="8" t="s">
        <v>37</v>
      </c>
      <c r="F785" s="5">
        <v>4421</v>
      </c>
      <c r="G785" s="8" t="s">
        <v>26</v>
      </c>
      <c r="H785" s="8" t="s">
        <v>38</v>
      </c>
      <c r="I785" s="5">
        <v>4</v>
      </c>
      <c r="J785" s="10">
        <v>2066</v>
      </c>
      <c r="K785" s="10">
        <v>8264</v>
      </c>
      <c r="L785" s="10">
        <v>5144.8999999999996</v>
      </c>
      <c r="M785" s="10">
        <v>3119.1</v>
      </c>
      <c r="N785" s="8" t="s">
        <v>21</v>
      </c>
      <c r="O785" s="8" t="s">
        <v>22</v>
      </c>
      <c r="P785" s="8" t="s">
        <v>46</v>
      </c>
      <c r="Q785" s="3">
        <f t="shared" si="13"/>
        <v>0.37743223620522748</v>
      </c>
      <c r="R785" s="8" t="str" cm="1">
        <f t="array" ref="R785">_xlfn.IFS(Q785&gt;40%,"Alta",Q785&gt;20%,"Média",Q785&lt;20%,"Baixa")</f>
        <v>Média</v>
      </c>
    </row>
    <row r="786" spans="1:18" x14ac:dyDescent="0.25">
      <c r="A786" s="5">
        <v>470</v>
      </c>
      <c r="B786" s="6">
        <v>45732</v>
      </c>
      <c r="C786" s="8" t="s">
        <v>47</v>
      </c>
      <c r="D786" s="8" t="s">
        <v>17</v>
      </c>
      <c r="E786" s="8" t="s">
        <v>37</v>
      </c>
      <c r="F786" s="5">
        <v>4686</v>
      </c>
      <c r="G786" s="8" t="s">
        <v>19</v>
      </c>
      <c r="H786" s="8" t="s">
        <v>20</v>
      </c>
      <c r="I786" s="5">
        <v>9</v>
      </c>
      <c r="J786" s="10">
        <v>913</v>
      </c>
      <c r="K786" s="10">
        <v>8217</v>
      </c>
      <c r="L786" s="10">
        <v>6089.16</v>
      </c>
      <c r="M786" s="10">
        <v>2127.84</v>
      </c>
      <c r="N786" s="8" t="s">
        <v>21</v>
      </c>
      <c r="O786" s="8" t="s">
        <v>22</v>
      </c>
      <c r="P786" s="8" t="s">
        <v>46</v>
      </c>
      <c r="Q786" s="3">
        <f t="shared" si="13"/>
        <v>0.25895582329317268</v>
      </c>
      <c r="R786" s="8" t="str" cm="1">
        <f t="array" ref="R786">_xlfn.IFS(Q786&gt;40%,"Alta",Q786&gt;20%,"Média",Q786&lt;20%,"Baixa")</f>
        <v>Média</v>
      </c>
    </row>
    <row r="787" spans="1:18" x14ac:dyDescent="0.25">
      <c r="A787" s="5">
        <v>933</v>
      </c>
      <c r="B787" s="6">
        <v>45772</v>
      </c>
      <c r="C787" s="8" t="s">
        <v>24</v>
      </c>
      <c r="D787" s="8" t="s">
        <v>30</v>
      </c>
      <c r="E787" s="8" t="s">
        <v>41</v>
      </c>
      <c r="F787" s="5">
        <v>1400</v>
      </c>
      <c r="G787" s="8" t="s">
        <v>26</v>
      </c>
      <c r="H787" s="8" t="s">
        <v>20</v>
      </c>
      <c r="I787" s="5">
        <v>3</v>
      </c>
      <c r="J787" s="10">
        <v>2737</v>
      </c>
      <c r="K787" s="10">
        <v>8211</v>
      </c>
      <c r="L787" s="10">
        <v>5929.47</v>
      </c>
      <c r="M787" s="10">
        <v>2281.5300000000002</v>
      </c>
      <c r="N787" s="8" t="s">
        <v>32</v>
      </c>
      <c r="O787" s="8" t="s">
        <v>22</v>
      </c>
      <c r="P787" s="8" t="s">
        <v>44</v>
      </c>
      <c r="Q787" s="3">
        <f t="shared" si="13"/>
        <v>0.27786262331019368</v>
      </c>
      <c r="R787" s="8" t="str" cm="1">
        <f t="array" ref="R787">_xlfn.IFS(Q787&gt;40%,"Alta",Q787&gt;20%,"Média",Q787&lt;20%,"Baixa")</f>
        <v>Média</v>
      </c>
    </row>
    <row r="788" spans="1:18" x14ac:dyDescent="0.25">
      <c r="A788" s="5">
        <v>858</v>
      </c>
      <c r="B788" s="6">
        <v>45828</v>
      </c>
      <c r="C788" s="8" t="s">
        <v>47</v>
      </c>
      <c r="D788" s="8" t="s">
        <v>17</v>
      </c>
      <c r="E788" s="8" t="s">
        <v>37</v>
      </c>
      <c r="F788" s="5">
        <v>4920</v>
      </c>
      <c r="G788" s="8" t="s">
        <v>36</v>
      </c>
      <c r="H788" s="8" t="s">
        <v>38</v>
      </c>
      <c r="I788" s="5">
        <v>5</v>
      </c>
      <c r="J788" s="10">
        <v>1637</v>
      </c>
      <c r="K788" s="10">
        <v>8185</v>
      </c>
      <c r="L788" s="10">
        <v>4581.99</v>
      </c>
      <c r="M788" s="10">
        <v>3603.01</v>
      </c>
      <c r="N788" s="8" t="s">
        <v>28</v>
      </c>
      <c r="O788" s="8" t="s">
        <v>22</v>
      </c>
      <c r="P788" s="8" t="s">
        <v>23</v>
      </c>
      <c r="Q788" s="3">
        <f t="shared" si="13"/>
        <v>0.4401967012828345</v>
      </c>
      <c r="R788" s="8" t="str" cm="1">
        <f t="array" ref="R788">_xlfn.IFS(Q788&gt;40%,"Alta",Q788&gt;20%,"Média",Q788&lt;20%,"Baixa")</f>
        <v>Alta</v>
      </c>
    </row>
    <row r="789" spans="1:18" x14ac:dyDescent="0.25">
      <c r="A789" s="5">
        <v>990</v>
      </c>
      <c r="B789" s="6">
        <v>45685</v>
      </c>
      <c r="C789" s="8" t="s">
        <v>47</v>
      </c>
      <c r="D789" s="8" t="s">
        <v>30</v>
      </c>
      <c r="E789" s="8" t="s">
        <v>37</v>
      </c>
      <c r="F789" s="5">
        <v>9691</v>
      </c>
      <c r="G789" s="8" t="s">
        <v>26</v>
      </c>
      <c r="H789" s="8" t="s">
        <v>31</v>
      </c>
      <c r="I789" s="5">
        <v>2</v>
      </c>
      <c r="J789" s="10">
        <v>4076</v>
      </c>
      <c r="K789" s="10">
        <v>8152</v>
      </c>
      <c r="L789" s="10">
        <v>3696.37</v>
      </c>
      <c r="M789" s="10">
        <v>4455.63</v>
      </c>
      <c r="N789" s="8" t="s">
        <v>21</v>
      </c>
      <c r="O789" s="8" t="s">
        <v>39</v>
      </c>
      <c r="P789" s="8" t="s">
        <v>40</v>
      </c>
      <c r="Q789" s="3">
        <f t="shared" si="13"/>
        <v>0.54656894013738966</v>
      </c>
      <c r="R789" s="8" t="str" cm="1">
        <f t="array" ref="R789">_xlfn.IFS(Q789&gt;40%,"Alta",Q789&gt;20%,"Média",Q789&lt;20%,"Baixa")</f>
        <v>Alta</v>
      </c>
    </row>
    <row r="790" spans="1:18" x14ac:dyDescent="0.25">
      <c r="A790" s="5">
        <v>83</v>
      </c>
      <c r="B790" s="6">
        <v>45709</v>
      </c>
      <c r="C790" s="8" t="s">
        <v>34</v>
      </c>
      <c r="D790" s="8" t="s">
        <v>42</v>
      </c>
      <c r="E790" s="8" t="s">
        <v>25</v>
      </c>
      <c r="F790" s="5">
        <v>2565</v>
      </c>
      <c r="G790" s="8" t="s">
        <v>26</v>
      </c>
      <c r="H790" s="8" t="s">
        <v>43</v>
      </c>
      <c r="I790" s="5">
        <v>4</v>
      </c>
      <c r="J790" s="10">
        <v>2021</v>
      </c>
      <c r="K790" s="10">
        <v>8084</v>
      </c>
      <c r="L790" s="10">
        <v>3806.82</v>
      </c>
      <c r="M790" s="10">
        <v>4277.18</v>
      </c>
      <c r="N790" s="8" t="s">
        <v>28</v>
      </c>
      <c r="O790" s="8" t="s">
        <v>39</v>
      </c>
      <c r="P790" s="8" t="s">
        <v>29</v>
      </c>
      <c r="Q790" s="3">
        <f t="shared" si="13"/>
        <v>0.52909203364670954</v>
      </c>
      <c r="R790" s="8" t="str" cm="1">
        <f t="array" ref="R790">_xlfn.IFS(Q790&gt;40%,"Alta",Q790&gt;20%,"Média",Q790&lt;20%,"Baixa")</f>
        <v>Alta</v>
      </c>
    </row>
    <row r="791" spans="1:18" x14ac:dyDescent="0.25">
      <c r="A791" s="5">
        <v>275</v>
      </c>
      <c r="B791" s="6">
        <v>45835</v>
      </c>
      <c r="C791" s="8" t="s">
        <v>34</v>
      </c>
      <c r="D791" s="8" t="s">
        <v>17</v>
      </c>
      <c r="E791" s="8" t="s">
        <v>25</v>
      </c>
      <c r="F791" s="5">
        <v>6545</v>
      </c>
      <c r="G791" s="8" t="s">
        <v>26</v>
      </c>
      <c r="H791" s="8" t="s">
        <v>20</v>
      </c>
      <c r="I791" s="5">
        <v>4</v>
      </c>
      <c r="J791" s="10">
        <v>2003</v>
      </c>
      <c r="K791" s="10">
        <v>8012</v>
      </c>
      <c r="L791" s="10">
        <v>5726.85</v>
      </c>
      <c r="M791" s="10">
        <v>2285.15</v>
      </c>
      <c r="N791" s="8" t="s">
        <v>21</v>
      </c>
      <c r="O791" s="8" t="s">
        <v>22</v>
      </c>
      <c r="P791" s="8" t="s">
        <v>46</v>
      </c>
      <c r="Q791" s="3">
        <f t="shared" si="13"/>
        <v>0.28521592611083374</v>
      </c>
      <c r="R791" s="8" t="str" cm="1">
        <f t="array" ref="R791">_xlfn.IFS(Q791&gt;40%,"Alta",Q791&gt;20%,"Média",Q791&lt;20%,"Baixa")</f>
        <v>Média</v>
      </c>
    </row>
    <row r="792" spans="1:18" x14ac:dyDescent="0.25">
      <c r="A792" s="5">
        <v>301</v>
      </c>
      <c r="B792" s="6">
        <v>45758</v>
      </c>
      <c r="C792" s="8" t="s">
        <v>16</v>
      </c>
      <c r="D792" s="8" t="s">
        <v>30</v>
      </c>
      <c r="E792" s="8" t="s">
        <v>37</v>
      </c>
      <c r="F792" s="5">
        <v>8489</v>
      </c>
      <c r="G792" s="8" t="s">
        <v>19</v>
      </c>
      <c r="H792" s="8" t="s">
        <v>38</v>
      </c>
      <c r="I792" s="5">
        <v>10</v>
      </c>
      <c r="J792" s="10">
        <v>801</v>
      </c>
      <c r="K792" s="10">
        <v>8010</v>
      </c>
      <c r="L792" s="10">
        <v>5021.3</v>
      </c>
      <c r="M792" s="10">
        <v>2988.7</v>
      </c>
      <c r="N792" s="8" t="s">
        <v>21</v>
      </c>
      <c r="O792" s="8" t="s">
        <v>22</v>
      </c>
      <c r="P792" s="8" t="s">
        <v>40</v>
      </c>
      <c r="Q792" s="3">
        <f t="shared" si="13"/>
        <v>0.37312109862671661</v>
      </c>
      <c r="R792" s="8" t="str" cm="1">
        <f t="array" ref="R792">_xlfn.IFS(Q792&gt;40%,"Alta",Q792&gt;20%,"Média",Q792&lt;20%,"Baixa")</f>
        <v>Média</v>
      </c>
    </row>
    <row r="793" spans="1:18" x14ac:dyDescent="0.25">
      <c r="A793" s="5">
        <v>381</v>
      </c>
      <c r="B793" s="6">
        <v>45723</v>
      </c>
      <c r="C793" s="8" t="s">
        <v>47</v>
      </c>
      <c r="D793" s="8" t="s">
        <v>30</v>
      </c>
      <c r="E793" s="8" t="s">
        <v>41</v>
      </c>
      <c r="F793" s="5">
        <v>1953</v>
      </c>
      <c r="G793" s="8" t="s">
        <v>26</v>
      </c>
      <c r="H793" s="8" t="s">
        <v>31</v>
      </c>
      <c r="I793" s="5">
        <v>20</v>
      </c>
      <c r="J793" s="10">
        <v>399</v>
      </c>
      <c r="K793" s="10">
        <v>7980</v>
      </c>
      <c r="L793" s="10">
        <v>3970.55</v>
      </c>
      <c r="M793" s="10">
        <v>4009.45</v>
      </c>
      <c r="N793" s="8" t="s">
        <v>28</v>
      </c>
      <c r="O793" s="8" t="s">
        <v>33</v>
      </c>
      <c r="P793" s="8" t="s">
        <v>23</v>
      </c>
      <c r="Q793" s="3">
        <f t="shared" si="13"/>
        <v>0.50243734335839596</v>
      </c>
      <c r="R793" s="8" t="str" cm="1">
        <f t="array" ref="R793">_xlfn.IFS(Q793&gt;40%,"Alta",Q793&gt;20%,"Média",Q793&lt;20%,"Baixa")</f>
        <v>Alta</v>
      </c>
    </row>
    <row r="794" spans="1:18" x14ac:dyDescent="0.25">
      <c r="A794" s="5">
        <v>886</v>
      </c>
      <c r="B794" s="6">
        <v>45725</v>
      </c>
      <c r="C794" s="8" t="s">
        <v>24</v>
      </c>
      <c r="D794" s="8" t="s">
        <v>17</v>
      </c>
      <c r="E794" s="8" t="s">
        <v>18</v>
      </c>
      <c r="F794" s="5">
        <v>7118</v>
      </c>
      <c r="G794" s="8" t="s">
        <v>19</v>
      </c>
      <c r="H794" s="8" t="s">
        <v>43</v>
      </c>
      <c r="I794" s="5">
        <v>9</v>
      </c>
      <c r="J794" s="10">
        <v>886</v>
      </c>
      <c r="K794" s="10">
        <v>7974</v>
      </c>
      <c r="L794" s="10">
        <v>3228.97</v>
      </c>
      <c r="M794" s="10">
        <v>4745.03</v>
      </c>
      <c r="N794" s="8" t="s">
        <v>32</v>
      </c>
      <c r="O794" s="8" t="s">
        <v>22</v>
      </c>
      <c r="P794" s="8" t="s">
        <v>23</v>
      </c>
      <c r="Q794" s="3">
        <f t="shared" si="13"/>
        <v>0.59506270378730874</v>
      </c>
      <c r="R794" s="8" t="str" cm="1">
        <f t="array" ref="R794">_xlfn.IFS(Q794&gt;40%,"Alta",Q794&gt;20%,"Média",Q794&lt;20%,"Baixa")</f>
        <v>Alta</v>
      </c>
    </row>
    <row r="795" spans="1:18" x14ac:dyDescent="0.25">
      <c r="A795" s="5">
        <v>191</v>
      </c>
      <c r="B795" s="6">
        <v>45751</v>
      </c>
      <c r="C795" s="8" t="s">
        <v>16</v>
      </c>
      <c r="D795" s="8" t="s">
        <v>42</v>
      </c>
      <c r="E795" s="8" t="s">
        <v>37</v>
      </c>
      <c r="F795" s="5">
        <v>1704</v>
      </c>
      <c r="G795" s="8" t="s">
        <v>19</v>
      </c>
      <c r="H795" s="8" t="s">
        <v>27</v>
      </c>
      <c r="I795" s="5">
        <v>2</v>
      </c>
      <c r="J795" s="10">
        <v>3978</v>
      </c>
      <c r="K795" s="10">
        <v>7956</v>
      </c>
      <c r="L795" s="10">
        <v>5137.22</v>
      </c>
      <c r="M795" s="10">
        <v>2818.78</v>
      </c>
      <c r="N795" s="8" t="s">
        <v>32</v>
      </c>
      <c r="O795" s="8" t="s">
        <v>33</v>
      </c>
      <c r="P795" s="8" t="s">
        <v>29</v>
      </c>
      <c r="Q795" s="3">
        <f t="shared" si="13"/>
        <v>0.35429612870789345</v>
      </c>
      <c r="R795" s="8" t="str" cm="1">
        <f t="array" ref="R795">_xlfn.IFS(Q795&gt;40%,"Alta",Q795&gt;20%,"Média",Q795&lt;20%,"Baixa")</f>
        <v>Média</v>
      </c>
    </row>
    <row r="796" spans="1:18" x14ac:dyDescent="0.25">
      <c r="A796" s="5">
        <v>716</v>
      </c>
      <c r="B796" s="6">
        <v>45693</v>
      </c>
      <c r="C796" s="8" t="s">
        <v>34</v>
      </c>
      <c r="D796" s="8" t="s">
        <v>42</v>
      </c>
      <c r="E796" s="8" t="s">
        <v>41</v>
      </c>
      <c r="F796" s="5">
        <v>8090</v>
      </c>
      <c r="G796" s="8" t="s">
        <v>26</v>
      </c>
      <c r="H796" s="8" t="s">
        <v>20</v>
      </c>
      <c r="I796" s="5">
        <v>7</v>
      </c>
      <c r="J796" s="10">
        <v>1136</v>
      </c>
      <c r="K796" s="10">
        <v>7952</v>
      </c>
      <c r="L796" s="10">
        <v>5887.29</v>
      </c>
      <c r="M796" s="10">
        <v>2064.71</v>
      </c>
      <c r="N796" s="8" t="s">
        <v>28</v>
      </c>
      <c r="O796" s="8" t="s">
        <v>33</v>
      </c>
      <c r="P796" s="8" t="s">
        <v>23</v>
      </c>
      <c r="Q796" s="3">
        <f t="shared" si="13"/>
        <v>0.25964662977867203</v>
      </c>
      <c r="R796" s="8" t="str" cm="1">
        <f t="array" ref="R796">_xlfn.IFS(Q796&gt;40%,"Alta",Q796&gt;20%,"Média",Q796&lt;20%,"Baixa")</f>
        <v>Média</v>
      </c>
    </row>
    <row r="797" spans="1:18" x14ac:dyDescent="0.25">
      <c r="A797" s="5">
        <v>333</v>
      </c>
      <c r="B797" s="6">
        <v>45670</v>
      </c>
      <c r="C797" s="8" t="s">
        <v>16</v>
      </c>
      <c r="D797" s="8" t="s">
        <v>35</v>
      </c>
      <c r="E797" s="8" t="s">
        <v>37</v>
      </c>
      <c r="F797" s="5">
        <v>8383</v>
      </c>
      <c r="G797" s="8" t="s">
        <v>36</v>
      </c>
      <c r="H797" s="8" t="s">
        <v>43</v>
      </c>
      <c r="I797" s="5">
        <v>4</v>
      </c>
      <c r="J797" s="10">
        <v>1975</v>
      </c>
      <c r="K797" s="10">
        <v>7900</v>
      </c>
      <c r="L797" s="10">
        <v>5917.51</v>
      </c>
      <c r="M797" s="10">
        <v>1982.49</v>
      </c>
      <c r="N797" s="8" t="s">
        <v>21</v>
      </c>
      <c r="O797" s="8" t="s">
        <v>39</v>
      </c>
      <c r="P797" s="8" t="s">
        <v>44</v>
      </c>
      <c r="Q797" s="3">
        <f t="shared" si="13"/>
        <v>0.25094810126582279</v>
      </c>
      <c r="R797" s="8" t="str" cm="1">
        <f t="array" ref="R797">_xlfn.IFS(Q797&gt;40%,"Alta",Q797&gt;20%,"Média",Q797&lt;20%,"Baixa")</f>
        <v>Média</v>
      </c>
    </row>
    <row r="798" spans="1:18" x14ac:dyDescent="0.25">
      <c r="A798" s="5">
        <v>790</v>
      </c>
      <c r="B798" s="6">
        <v>45665</v>
      </c>
      <c r="C798" s="8" t="s">
        <v>47</v>
      </c>
      <c r="D798" s="8" t="s">
        <v>30</v>
      </c>
      <c r="E798" s="8" t="s">
        <v>25</v>
      </c>
      <c r="F798" s="5">
        <v>2135</v>
      </c>
      <c r="G798" s="8" t="s">
        <v>19</v>
      </c>
      <c r="H798" s="8" t="s">
        <v>27</v>
      </c>
      <c r="I798" s="5">
        <v>11</v>
      </c>
      <c r="J798" s="10">
        <v>711</v>
      </c>
      <c r="K798" s="10">
        <v>7821</v>
      </c>
      <c r="L798" s="10">
        <v>5233.04</v>
      </c>
      <c r="M798" s="10">
        <v>2587.96</v>
      </c>
      <c r="N798" s="8" t="s">
        <v>32</v>
      </c>
      <c r="O798" s="8" t="s">
        <v>22</v>
      </c>
      <c r="P798" s="8" t="s">
        <v>40</v>
      </c>
      <c r="Q798" s="3">
        <f t="shared" si="13"/>
        <v>0.33089886203810254</v>
      </c>
      <c r="R798" s="8" t="str" cm="1">
        <f t="array" ref="R798">_xlfn.IFS(Q798&gt;40%,"Alta",Q798&gt;20%,"Média",Q798&lt;20%,"Baixa")</f>
        <v>Média</v>
      </c>
    </row>
    <row r="799" spans="1:18" x14ac:dyDescent="0.25">
      <c r="A799" s="5">
        <v>288</v>
      </c>
      <c r="B799" s="6">
        <v>45714</v>
      </c>
      <c r="C799" s="8" t="s">
        <v>16</v>
      </c>
      <c r="D799" s="8" t="s">
        <v>17</v>
      </c>
      <c r="E799" s="8" t="s">
        <v>25</v>
      </c>
      <c r="F799" s="5">
        <v>6344</v>
      </c>
      <c r="G799" s="8" t="s">
        <v>19</v>
      </c>
      <c r="H799" s="8" t="s">
        <v>43</v>
      </c>
      <c r="I799" s="5">
        <v>9</v>
      </c>
      <c r="J799" s="10">
        <v>867</v>
      </c>
      <c r="K799" s="10">
        <v>7803</v>
      </c>
      <c r="L799" s="10">
        <v>5550.68</v>
      </c>
      <c r="M799" s="10">
        <v>2252.3200000000002</v>
      </c>
      <c r="N799" s="8" t="s">
        <v>28</v>
      </c>
      <c r="O799" s="8" t="s">
        <v>22</v>
      </c>
      <c r="P799" s="8" t="s">
        <v>44</v>
      </c>
      <c r="Q799" s="3">
        <f t="shared" si="13"/>
        <v>0.28864795591439191</v>
      </c>
      <c r="R799" s="8" t="str" cm="1">
        <f t="array" ref="R799">_xlfn.IFS(Q799&gt;40%,"Alta",Q799&gt;20%,"Média",Q799&lt;20%,"Baixa")</f>
        <v>Média</v>
      </c>
    </row>
    <row r="800" spans="1:18" x14ac:dyDescent="0.25">
      <c r="A800" s="5">
        <v>827</v>
      </c>
      <c r="B800" s="6">
        <v>45679</v>
      </c>
      <c r="C800" s="8" t="s">
        <v>16</v>
      </c>
      <c r="D800" s="8" t="s">
        <v>42</v>
      </c>
      <c r="E800" s="8" t="s">
        <v>18</v>
      </c>
      <c r="F800" s="5">
        <v>6487</v>
      </c>
      <c r="G800" s="8" t="s">
        <v>19</v>
      </c>
      <c r="H800" s="8" t="s">
        <v>31</v>
      </c>
      <c r="I800" s="5">
        <v>3</v>
      </c>
      <c r="J800" s="10">
        <v>2586</v>
      </c>
      <c r="K800" s="10">
        <v>7758</v>
      </c>
      <c r="L800" s="10">
        <v>3649.95</v>
      </c>
      <c r="M800" s="10">
        <v>4108.05</v>
      </c>
      <c r="N800" s="8" t="s">
        <v>32</v>
      </c>
      <c r="O800" s="8" t="s">
        <v>22</v>
      </c>
      <c r="P800" s="8" t="s">
        <v>23</v>
      </c>
      <c r="Q800" s="3">
        <f t="shared" si="13"/>
        <v>0.52952436194895591</v>
      </c>
      <c r="R800" s="8" t="str" cm="1">
        <f t="array" ref="R800">_xlfn.IFS(Q800&gt;40%,"Alta",Q800&gt;20%,"Média",Q800&lt;20%,"Baixa")</f>
        <v>Alta</v>
      </c>
    </row>
    <row r="801" spans="1:18" x14ac:dyDescent="0.25">
      <c r="A801" s="5">
        <v>792</v>
      </c>
      <c r="B801" s="6">
        <v>45719</v>
      </c>
      <c r="C801" s="8" t="s">
        <v>34</v>
      </c>
      <c r="D801" s="8" t="s">
        <v>45</v>
      </c>
      <c r="E801" s="8" t="s">
        <v>18</v>
      </c>
      <c r="F801" s="5">
        <v>2049</v>
      </c>
      <c r="G801" s="8" t="s">
        <v>26</v>
      </c>
      <c r="H801" s="8" t="s">
        <v>31</v>
      </c>
      <c r="I801" s="5">
        <v>7</v>
      </c>
      <c r="J801" s="10">
        <v>1107</v>
      </c>
      <c r="K801" s="10">
        <v>7749</v>
      </c>
      <c r="L801" s="10">
        <v>3382.84</v>
      </c>
      <c r="M801" s="10">
        <v>4366.16</v>
      </c>
      <c r="N801" s="8" t="s">
        <v>21</v>
      </c>
      <c r="O801" s="8" t="s">
        <v>39</v>
      </c>
      <c r="P801" s="8" t="s">
        <v>29</v>
      </c>
      <c r="Q801" s="3">
        <f t="shared" si="13"/>
        <v>0.56344818686282094</v>
      </c>
      <c r="R801" s="8" t="str" cm="1">
        <f t="array" ref="R801">_xlfn.IFS(Q801&gt;40%,"Alta",Q801&gt;20%,"Média",Q801&lt;20%,"Baixa")</f>
        <v>Alta</v>
      </c>
    </row>
    <row r="802" spans="1:18" x14ac:dyDescent="0.25">
      <c r="A802" s="5">
        <v>59</v>
      </c>
      <c r="B802" s="6">
        <v>45830</v>
      </c>
      <c r="C802" s="8" t="s">
        <v>16</v>
      </c>
      <c r="D802" s="8" t="s">
        <v>17</v>
      </c>
      <c r="E802" s="8" t="s">
        <v>41</v>
      </c>
      <c r="F802" s="5">
        <v>4138</v>
      </c>
      <c r="G802" s="8" t="s">
        <v>26</v>
      </c>
      <c r="H802" s="8" t="s">
        <v>38</v>
      </c>
      <c r="I802" s="5">
        <v>6</v>
      </c>
      <c r="J802" s="10">
        <v>1287</v>
      </c>
      <c r="K802" s="10">
        <v>7722</v>
      </c>
      <c r="L802" s="10">
        <v>4789.7299999999996</v>
      </c>
      <c r="M802" s="10">
        <v>2932.27</v>
      </c>
      <c r="N802" s="8" t="s">
        <v>21</v>
      </c>
      <c r="O802" s="8" t="s">
        <v>33</v>
      </c>
      <c r="P802" s="8" t="s">
        <v>44</v>
      </c>
      <c r="Q802" s="3">
        <f t="shared" si="13"/>
        <v>0.37972934472934472</v>
      </c>
      <c r="R802" s="8" t="str" cm="1">
        <f t="array" ref="R802">_xlfn.IFS(Q802&gt;40%,"Alta",Q802&gt;20%,"Média",Q802&lt;20%,"Baixa")</f>
        <v>Média</v>
      </c>
    </row>
    <row r="803" spans="1:18" x14ac:dyDescent="0.25">
      <c r="A803" s="5">
        <v>124</v>
      </c>
      <c r="B803" s="6">
        <v>45742</v>
      </c>
      <c r="C803" s="8" t="s">
        <v>34</v>
      </c>
      <c r="D803" s="8" t="s">
        <v>42</v>
      </c>
      <c r="E803" s="8" t="s">
        <v>37</v>
      </c>
      <c r="F803" s="5">
        <v>6889</v>
      </c>
      <c r="G803" s="8" t="s">
        <v>26</v>
      </c>
      <c r="H803" s="8" t="s">
        <v>20</v>
      </c>
      <c r="I803" s="5">
        <v>3</v>
      </c>
      <c r="J803" s="10">
        <v>2564</v>
      </c>
      <c r="K803" s="10">
        <v>7692</v>
      </c>
      <c r="L803" s="10">
        <v>5999.93</v>
      </c>
      <c r="M803" s="10">
        <v>1692.07</v>
      </c>
      <c r="N803" s="8" t="s">
        <v>28</v>
      </c>
      <c r="O803" s="8" t="s">
        <v>33</v>
      </c>
      <c r="P803" s="8" t="s">
        <v>46</v>
      </c>
      <c r="Q803" s="3">
        <f t="shared" si="13"/>
        <v>0.21997789911596463</v>
      </c>
      <c r="R803" s="8" t="str" cm="1">
        <f t="array" ref="R803">_xlfn.IFS(Q803&gt;40%,"Alta",Q803&gt;20%,"Média",Q803&lt;20%,"Baixa")</f>
        <v>Média</v>
      </c>
    </row>
    <row r="804" spans="1:18" x14ac:dyDescent="0.25">
      <c r="A804" s="5">
        <v>345</v>
      </c>
      <c r="B804" s="6">
        <v>45798</v>
      </c>
      <c r="C804" s="8" t="s">
        <v>47</v>
      </c>
      <c r="D804" s="8" t="s">
        <v>17</v>
      </c>
      <c r="E804" s="8" t="s">
        <v>25</v>
      </c>
      <c r="F804" s="5">
        <v>1197</v>
      </c>
      <c r="G804" s="8" t="s">
        <v>36</v>
      </c>
      <c r="H804" s="8" t="s">
        <v>38</v>
      </c>
      <c r="I804" s="5">
        <v>20</v>
      </c>
      <c r="J804" s="10">
        <v>376</v>
      </c>
      <c r="K804" s="10">
        <v>7520</v>
      </c>
      <c r="L804" s="10">
        <v>5014.78</v>
      </c>
      <c r="M804" s="10">
        <v>2505.2199999999998</v>
      </c>
      <c r="N804" s="8" t="s">
        <v>32</v>
      </c>
      <c r="O804" s="8" t="s">
        <v>33</v>
      </c>
      <c r="P804" s="8" t="s">
        <v>46</v>
      </c>
      <c r="Q804" s="3">
        <f t="shared" si="13"/>
        <v>0.33314095744680849</v>
      </c>
      <c r="R804" s="8" t="str" cm="1">
        <f t="array" ref="R804">_xlfn.IFS(Q804&gt;40%,"Alta",Q804&gt;20%,"Média",Q804&lt;20%,"Baixa")</f>
        <v>Média</v>
      </c>
    </row>
    <row r="805" spans="1:18" x14ac:dyDescent="0.25">
      <c r="A805" s="5">
        <v>341</v>
      </c>
      <c r="B805" s="6">
        <v>45660</v>
      </c>
      <c r="C805" s="8" t="s">
        <v>47</v>
      </c>
      <c r="D805" s="8" t="s">
        <v>35</v>
      </c>
      <c r="E805" s="8" t="s">
        <v>18</v>
      </c>
      <c r="F805" s="5">
        <v>5722</v>
      </c>
      <c r="G805" s="8" t="s">
        <v>26</v>
      </c>
      <c r="H805" s="8" t="s">
        <v>20</v>
      </c>
      <c r="I805" s="5">
        <v>7</v>
      </c>
      <c r="J805" s="10">
        <v>1069</v>
      </c>
      <c r="K805" s="10">
        <v>7483</v>
      </c>
      <c r="L805" s="10">
        <v>5761.5</v>
      </c>
      <c r="M805" s="10">
        <v>1721.5</v>
      </c>
      <c r="N805" s="8" t="s">
        <v>21</v>
      </c>
      <c r="O805" s="8" t="s">
        <v>33</v>
      </c>
      <c r="P805" s="8" t="s">
        <v>46</v>
      </c>
      <c r="Q805" s="3">
        <f t="shared" si="13"/>
        <v>0.23005479085928104</v>
      </c>
      <c r="R805" s="8" t="str" cm="1">
        <f t="array" ref="R805">_xlfn.IFS(Q805&gt;40%,"Alta",Q805&gt;20%,"Média",Q805&lt;20%,"Baixa")</f>
        <v>Média</v>
      </c>
    </row>
    <row r="806" spans="1:18" x14ac:dyDescent="0.25">
      <c r="A806" s="5">
        <v>426</v>
      </c>
      <c r="B806" s="6">
        <v>45827</v>
      </c>
      <c r="C806" s="8" t="s">
        <v>16</v>
      </c>
      <c r="D806" s="8" t="s">
        <v>35</v>
      </c>
      <c r="E806" s="8" t="s">
        <v>25</v>
      </c>
      <c r="F806" s="5">
        <v>4978</v>
      </c>
      <c r="G806" s="8" t="s">
        <v>19</v>
      </c>
      <c r="H806" s="8" t="s">
        <v>43</v>
      </c>
      <c r="I806" s="5">
        <v>2</v>
      </c>
      <c r="J806" s="10">
        <v>3735</v>
      </c>
      <c r="K806" s="10">
        <v>7470</v>
      </c>
      <c r="L806" s="10">
        <v>3854.45</v>
      </c>
      <c r="M806" s="10">
        <v>3615.55</v>
      </c>
      <c r="N806" s="8" t="s">
        <v>32</v>
      </c>
      <c r="O806" s="8" t="s">
        <v>33</v>
      </c>
      <c r="P806" s="8" t="s">
        <v>23</v>
      </c>
      <c r="Q806" s="3">
        <f t="shared" si="13"/>
        <v>0.48400937081659978</v>
      </c>
      <c r="R806" s="8" t="str" cm="1">
        <f t="array" ref="R806">_xlfn.IFS(Q806&gt;40%,"Alta",Q806&gt;20%,"Média",Q806&lt;20%,"Baixa")</f>
        <v>Alta</v>
      </c>
    </row>
    <row r="807" spans="1:18" x14ac:dyDescent="0.25">
      <c r="A807" s="5">
        <v>705</v>
      </c>
      <c r="B807" s="6">
        <v>45770</v>
      </c>
      <c r="C807" s="8" t="s">
        <v>16</v>
      </c>
      <c r="D807" s="8" t="s">
        <v>42</v>
      </c>
      <c r="E807" s="8" t="s">
        <v>25</v>
      </c>
      <c r="F807" s="5">
        <v>2327</v>
      </c>
      <c r="G807" s="8" t="s">
        <v>36</v>
      </c>
      <c r="H807" s="8" t="s">
        <v>31</v>
      </c>
      <c r="I807" s="5">
        <v>2</v>
      </c>
      <c r="J807" s="10">
        <v>3705</v>
      </c>
      <c r="K807" s="10">
        <v>7410</v>
      </c>
      <c r="L807" s="10">
        <v>4515.2</v>
      </c>
      <c r="M807" s="10">
        <v>2894.8</v>
      </c>
      <c r="N807" s="8" t="s">
        <v>28</v>
      </c>
      <c r="O807" s="8" t="s">
        <v>22</v>
      </c>
      <c r="P807" s="8" t="s">
        <v>29</v>
      </c>
      <c r="Q807" s="3">
        <f t="shared" si="13"/>
        <v>0.39066126855600541</v>
      </c>
      <c r="R807" s="8" t="str" cm="1">
        <f t="array" ref="R807">_xlfn.IFS(Q807&gt;40%,"Alta",Q807&gt;20%,"Média",Q807&lt;20%,"Baixa")</f>
        <v>Média</v>
      </c>
    </row>
    <row r="808" spans="1:18" x14ac:dyDescent="0.25">
      <c r="A808" s="5">
        <v>441</v>
      </c>
      <c r="B808" s="6">
        <v>45753</v>
      </c>
      <c r="C808" s="8" t="s">
        <v>47</v>
      </c>
      <c r="D808" s="8" t="s">
        <v>17</v>
      </c>
      <c r="E808" s="8" t="s">
        <v>37</v>
      </c>
      <c r="F808" s="5">
        <v>8336</v>
      </c>
      <c r="G808" s="8" t="s">
        <v>36</v>
      </c>
      <c r="H808" s="8" t="s">
        <v>43</v>
      </c>
      <c r="I808" s="5">
        <v>2</v>
      </c>
      <c r="J808" s="10">
        <v>3685</v>
      </c>
      <c r="K808" s="10">
        <v>7370</v>
      </c>
      <c r="L808" s="10">
        <v>5895.21</v>
      </c>
      <c r="M808" s="10">
        <v>1474.79</v>
      </c>
      <c r="N808" s="8" t="s">
        <v>32</v>
      </c>
      <c r="O808" s="8" t="s">
        <v>22</v>
      </c>
      <c r="P808" s="8" t="s">
        <v>29</v>
      </c>
      <c r="Q808" s="3">
        <f t="shared" si="13"/>
        <v>0.20010719131614654</v>
      </c>
      <c r="R808" s="8" t="str" cm="1">
        <f t="array" ref="R808">_xlfn.IFS(Q808&gt;40%,"Alta",Q808&gt;20%,"Média",Q808&lt;20%,"Baixa")</f>
        <v>Média</v>
      </c>
    </row>
    <row r="809" spans="1:18" x14ac:dyDescent="0.25">
      <c r="A809" s="5">
        <v>674</v>
      </c>
      <c r="B809" s="6">
        <v>45674</v>
      </c>
      <c r="C809" s="8" t="s">
        <v>34</v>
      </c>
      <c r="D809" s="8" t="s">
        <v>45</v>
      </c>
      <c r="E809" s="8" t="s">
        <v>37</v>
      </c>
      <c r="F809" s="5">
        <v>9531</v>
      </c>
      <c r="G809" s="8" t="s">
        <v>36</v>
      </c>
      <c r="H809" s="8" t="s">
        <v>43</v>
      </c>
      <c r="I809" s="5">
        <v>12</v>
      </c>
      <c r="J809" s="10">
        <v>613</v>
      </c>
      <c r="K809" s="10">
        <v>7356</v>
      </c>
      <c r="L809" s="10">
        <v>5511.08</v>
      </c>
      <c r="M809" s="10">
        <v>1844.92</v>
      </c>
      <c r="N809" s="8" t="s">
        <v>28</v>
      </c>
      <c r="O809" s="8" t="s">
        <v>39</v>
      </c>
      <c r="P809" s="8" t="s">
        <v>44</v>
      </c>
      <c r="Q809" s="3">
        <f t="shared" si="13"/>
        <v>0.2508047852093529</v>
      </c>
      <c r="R809" s="8" t="str" cm="1">
        <f t="array" ref="R809">_xlfn.IFS(Q809&gt;40%,"Alta",Q809&gt;20%,"Média",Q809&lt;20%,"Baixa")</f>
        <v>Média</v>
      </c>
    </row>
    <row r="810" spans="1:18" x14ac:dyDescent="0.25">
      <c r="A810" s="5">
        <v>913</v>
      </c>
      <c r="B810" s="6">
        <v>45682</v>
      </c>
      <c r="C810" s="8" t="s">
        <v>34</v>
      </c>
      <c r="D810" s="8" t="s">
        <v>42</v>
      </c>
      <c r="E810" s="8" t="s">
        <v>25</v>
      </c>
      <c r="F810" s="5">
        <v>4767</v>
      </c>
      <c r="G810" s="8" t="s">
        <v>19</v>
      </c>
      <c r="H810" s="8" t="s">
        <v>20</v>
      </c>
      <c r="I810" s="5">
        <v>9</v>
      </c>
      <c r="J810" s="10">
        <v>816</v>
      </c>
      <c r="K810" s="10">
        <v>7344</v>
      </c>
      <c r="L810" s="10">
        <v>4687.63</v>
      </c>
      <c r="M810" s="10">
        <v>2656.37</v>
      </c>
      <c r="N810" s="8" t="s">
        <v>21</v>
      </c>
      <c r="O810" s="8" t="s">
        <v>22</v>
      </c>
      <c r="P810" s="8" t="s">
        <v>46</v>
      </c>
      <c r="Q810" s="3">
        <f t="shared" si="13"/>
        <v>0.36170615468409584</v>
      </c>
      <c r="R810" s="8" t="str" cm="1">
        <f t="array" ref="R810">_xlfn.IFS(Q810&gt;40%,"Alta",Q810&gt;20%,"Média",Q810&lt;20%,"Baixa")</f>
        <v>Média</v>
      </c>
    </row>
    <row r="811" spans="1:18" x14ac:dyDescent="0.25">
      <c r="A811" s="5">
        <v>777</v>
      </c>
      <c r="B811" s="6">
        <v>45779</v>
      </c>
      <c r="C811" s="8" t="s">
        <v>16</v>
      </c>
      <c r="D811" s="8" t="s">
        <v>30</v>
      </c>
      <c r="E811" s="8" t="s">
        <v>37</v>
      </c>
      <c r="F811" s="5">
        <v>7486</v>
      </c>
      <c r="G811" s="8" t="s">
        <v>36</v>
      </c>
      <c r="H811" s="8" t="s">
        <v>38</v>
      </c>
      <c r="I811" s="5">
        <v>3</v>
      </c>
      <c r="J811" s="10">
        <v>2423</v>
      </c>
      <c r="K811" s="10">
        <v>7269</v>
      </c>
      <c r="L811" s="10">
        <v>4226.5600000000004</v>
      </c>
      <c r="M811" s="10">
        <v>3042.44</v>
      </c>
      <c r="N811" s="8" t="s">
        <v>28</v>
      </c>
      <c r="O811" s="8" t="s">
        <v>33</v>
      </c>
      <c r="P811" s="8" t="s">
        <v>40</v>
      </c>
      <c r="Q811" s="3">
        <f t="shared" si="13"/>
        <v>0.41855000687852523</v>
      </c>
      <c r="R811" s="8" t="str" cm="1">
        <f t="array" ref="R811">_xlfn.IFS(Q811&gt;40%,"Alta",Q811&gt;20%,"Média",Q811&lt;20%,"Baixa")</f>
        <v>Alta</v>
      </c>
    </row>
    <row r="812" spans="1:18" x14ac:dyDescent="0.25">
      <c r="A812" s="5">
        <v>271</v>
      </c>
      <c r="B812" s="6">
        <v>45831</v>
      </c>
      <c r="C812" s="8" t="s">
        <v>47</v>
      </c>
      <c r="D812" s="8" t="s">
        <v>17</v>
      </c>
      <c r="E812" s="8" t="s">
        <v>18</v>
      </c>
      <c r="F812" s="5">
        <v>8644</v>
      </c>
      <c r="G812" s="8" t="s">
        <v>26</v>
      </c>
      <c r="H812" s="8" t="s">
        <v>31</v>
      </c>
      <c r="I812" s="5">
        <v>2</v>
      </c>
      <c r="J812" s="10">
        <v>3631</v>
      </c>
      <c r="K812" s="10">
        <v>7262</v>
      </c>
      <c r="L812" s="10">
        <v>4313.75</v>
      </c>
      <c r="M812" s="10">
        <v>2948.25</v>
      </c>
      <c r="N812" s="8" t="s">
        <v>32</v>
      </c>
      <c r="O812" s="8" t="s">
        <v>22</v>
      </c>
      <c r="P812" s="8" t="s">
        <v>23</v>
      </c>
      <c r="Q812" s="3">
        <f t="shared" si="13"/>
        <v>0.40598320022032497</v>
      </c>
      <c r="R812" s="8" t="str" cm="1">
        <f t="array" ref="R812">_xlfn.IFS(Q812&gt;40%,"Alta",Q812&gt;20%,"Média",Q812&lt;20%,"Baixa")</f>
        <v>Alta</v>
      </c>
    </row>
    <row r="813" spans="1:18" x14ac:dyDescent="0.25">
      <c r="A813" s="5">
        <v>970</v>
      </c>
      <c r="B813" s="6">
        <v>45756</v>
      </c>
      <c r="C813" s="8" t="s">
        <v>24</v>
      </c>
      <c r="D813" s="8" t="s">
        <v>45</v>
      </c>
      <c r="E813" s="8" t="s">
        <v>41</v>
      </c>
      <c r="F813" s="5">
        <v>3682</v>
      </c>
      <c r="G813" s="8" t="s">
        <v>36</v>
      </c>
      <c r="H813" s="8" t="s">
        <v>27</v>
      </c>
      <c r="I813" s="5">
        <v>9</v>
      </c>
      <c r="J813" s="10">
        <v>798</v>
      </c>
      <c r="K813" s="10">
        <v>7182</v>
      </c>
      <c r="L813" s="10">
        <v>4329.03</v>
      </c>
      <c r="M813" s="10">
        <v>2852.97</v>
      </c>
      <c r="N813" s="8" t="s">
        <v>28</v>
      </c>
      <c r="O813" s="8" t="s">
        <v>22</v>
      </c>
      <c r="P813" s="8" t="s">
        <v>23</v>
      </c>
      <c r="Q813" s="3">
        <f t="shared" si="13"/>
        <v>0.39723893065998328</v>
      </c>
      <c r="R813" s="8" t="str" cm="1">
        <f t="array" ref="R813">_xlfn.IFS(Q813&gt;40%,"Alta",Q813&gt;20%,"Média",Q813&lt;20%,"Baixa")</f>
        <v>Média</v>
      </c>
    </row>
    <row r="814" spans="1:18" x14ac:dyDescent="0.25">
      <c r="A814" s="5">
        <v>702</v>
      </c>
      <c r="B814" s="6">
        <v>45776</v>
      </c>
      <c r="C814" s="8" t="s">
        <v>34</v>
      </c>
      <c r="D814" s="8" t="s">
        <v>42</v>
      </c>
      <c r="E814" s="8" t="s">
        <v>25</v>
      </c>
      <c r="F814" s="5">
        <v>2451</v>
      </c>
      <c r="G814" s="8" t="s">
        <v>19</v>
      </c>
      <c r="H814" s="8" t="s">
        <v>38</v>
      </c>
      <c r="I814" s="5">
        <v>2</v>
      </c>
      <c r="J814" s="10">
        <v>3590</v>
      </c>
      <c r="K814" s="10">
        <v>7180</v>
      </c>
      <c r="L814" s="10">
        <v>3146.57</v>
      </c>
      <c r="M814" s="10">
        <v>4033.43</v>
      </c>
      <c r="N814" s="8" t="s">
        <v>28</v>
      </c>
      <c r="O814" s="8" t="s">
        <v>22</v>
      </c>
      <c r="P814" s="8" t="s">
        <v>23</v>
      </c>
      <c r="Q814" s="3">
        <f t="shared" si="13"/>
        <v>0.56175905292479111</v>
      </c>
      <c r="R814" s="8" t="str" cm="1">
        <f t="array" ref="R814">_xlfn.IFS(Q814&gt;40%,"Alta",Q814&gt;20%,"Média",Q814&lt;20%,"Baixa")</f>
        <v>Alta</v>
      </c>
    </row>
    <row r="815" spans="1:18" x14ac:dyDescent="0.25">
      <c r="A815" s="5">
        <v>928</v>
      </c>
      <c r="B815" s="6">
        <v>45724</v>
      </c>
      <c r="C815" s="8" t="s">
        <v>34</v>
      </c>
      <c r="D815" s="8" t="s">
        <v>35</v>
      </c>
      <c r="E815" s="8" t="s">
        <v>41</v>
      </c>
      <c r="F815" s="5">
        <v>9052</v>
      </c>
      <c r="G815" s="8" t="s">
        <v>19</v>
      </c>
      <c r="H815" s="8" t="s">
        <v>27</v>
      </c>
      <c r="I815" s="5">
        <v>6</v>
      </c>
      <c r="J815" s="10">
        <v>1186</v>
      </c>
      <c r="K815" s="10">
        <v>7116</v>
      </c>
      <c r="L815" s="10">
        <v>5537.04</v>
      </c>
      <c r="M815" s="10">
        <v>1578.96</v>
      </c>
      <c r="N815" s="8" t="s">
        <v>28</v>
      </c>
      <c r="O815" s="8" t="s">
        <v>33</v>
      </c>
      <c r="P815" s="8" t="s">
        <v>23</v>
      </c>
      <c r="Q815" s="3">
        <f t="shared" si="13"/>
        <v>0.22188870151770659</v>
      </c>
      <c r="R815" s="8" t="str" cm="1">
        <f t="array" ref="R815">_xlfn.IFS(Q815&gt;40%,"Alta",Q815&gt;20%,"Média",Q815&lt;20%,"Baixa")</f>
        <v>Média</v>
      </c>
    </row>
    <row r="816" spans="1:18" x14ac:dyDescent="0.25">
      <c r="A816" s="5">
        <v>706</v>
      </c>
      <c r="B816" s="6">
        <v>45728</v>
      </c>
      <c r="C816" s="8" t="s">
        <v>24</v>
      </c>
      <c r="D816" s="8" t="s">
        <v>45</v>
      </c>
      <c r="E816" s="8" t="s">
        <v>41</v>
      </c>
      <c r="F816" s="5">
        <v>8106</v>
      </c>
      <c r="G816" s="8" t="s">
        <v>36</v>
      </c>
      <c r="H816" s="8" t="s">
        <v>43</v>
      </c>
      <c r="I816" s="5">
        <v>2</v>
      </c>
      <c r="J816" s="10">
        <v>3547</v>
      </c>
      <c r="K816" s="10">
        <v>7094</v>
      </c>
      <c r="L816" s="10">
        <v>5037.51</v>
      </c>
      <c r="M816" s="10">
        <v>2056.4899999999998</v>
      </c>
      <c r="N816" s="8" t="s">
        <v>32</v>
      </c>
      <c r="O816" s="8" t="s">
        <v>22</v>
      </c>
      <c r="P816" s="8" t="s">
        <v>29</v>
      </c>
      <c r="Q816" s="3">
        <f t="shared" si="13"/>
        <v>0.28989145756977724</v>
      </c>
      <c r="R816" s="8" t="str" cm="1">
        <f t="array" ref="R816">_xlfn.IFS(Q816&gt;40%,"Alta",Q816&gt;20%,"Média",Q816&lt;20%,"Baixa")</f>
        <v>Média</v>
      </c>
    </row>
    <row r="817" spans="1:18" x14ac:dyDescent="0.25">
      <c r="A817" s="5">
        <v>813</v>
      </c>
      <c r="B817" s="6">
        <v>45806</v>
      </c>
      <c r="C817" s="8" t="s">
        <v>47</v>
      </c>
      <c r="D817" s="8" t="s">
        <v>30</v>
      </c>
      <c r="E817" s="8" t="s">
        <v>18</v>
      </c>
      <c r="F817" s="5">
        <v>8416</v>
      </c>
      <c r="G817" s="8" t="s">
        <v>26</v>
      </c>
      <c r="H817" s="8" t="s">
        <v>38</v>
      </c>
      <c r="I817" s="5">
        <v>2</v>
      </c>
      <c r="J817" s="10">
        <v>3540</v>
      </c>
      <c r="K817" s="10">
        <v>7080</v>
      </c>
      <c r="L817" s="10">
        <v>3944.87</v>
      </c>
      <c r="M817" s="10">
        <v>3135.13</v>
      </c>
      <c r="N817" s="8" t="s">
        <v>21</v>
      </c>
      <c r="O817" s="8" t="s">
        <v>39</v>
      </c>
      <c r="P817" s="8" t="s">
        <v>46</v>
      </c>
      <c r="Q817" s="3">
        <f t="shared" si="13"/>
        <v>0.44281497175141243</v>
      </c>
      <c r="R817" s="8" t="str" cm="1">
        <f t="array" ref="R817">_xlfn.IFS(Q817&gt;40%,"Alta",Q817&gt;20%,"Média",Q817&lt;20%,"Baixa")</f>
        <v>Alta</v>
      </c>
    </row>
    <row r="818" spans="1:18" x14ac:dyDescent="0.25">
      <c r="A818" s="5">
        <v>342</v>
      </c>
      <c r="B818" s="6">
        <v>45834</v>
      </c>
      <c r="C818" s="8" t="s">
        <v>24</v>
      </c>
      <c r="D818" s="8" t="s">
        <v>17</v>
      </c>
      <c r="E818" s="8" t="s">
        <v>41</v>
      </c>
      <c r="F818" s="5">
        <v>6757</v>
      </c>
      <c r="G818" s="8" t="s">
        <v>26</v>
      </c>
      <c r="H818" s="8" t="s">
        <v>43</v>
      </c>
      <c r="I818" s="5">
        <v>5</v>
      </c>
      <c r="J818" s="10">
        <v>1413</v>
      </c>
      <c r="K818" s="10">
        <v>7065</v>
      </c>
      <c r="L818" s="10">
        <v>4561.12</v>
      </c>
      <c r="M818" s="10">
        <v>2503.88</v>
      </c>
      <c r="N818" s="8" t="s">
        <v>28</v>
      </c>
      <c r="O818" s="8" t="s">
        <v>22</v>
      </c>
      <c r="P818" s="8" t="s">
        <v>29</v>
      </c>
      <c r="Q818" s="3">
        <f t="shared" si="13"/>
        <v>0.35440622788393489</v>
      </c>
      <c r="R818" s="8" t="str" cm="1">
        <f t="array" ref="R818">_xlfn.IFS(Q818&gt;40%,"Alta",Q818&gt;20%,"Média",Q818&lt;20%,"Baixa")</f>
        <v>Média</v>
      </c>
    </row>
    <row r="819" spans="1:18" x14ac:dyDescent="0.25">
      <c r="A819" s="5">
        <v>820</v>
      </c>
      <c r="B819" s="6">
        <v>45801</v>
      </c>
      <c r="C819" s="8" t="s">
        <v>34</v>
      </c>
      <c r="D819" s="8" t="s">
        <v>17</v>
      </c>
      <c r="E819" s="8" t="s">
        <v>18</v>
      </c>
      <c r="F819" s="5">
        <v>1854</v>
      </c>
      <c r="G819" s="8" t="s">
        <v>19</v>
      </c>
      <c r="H819" s="8" t="s">
        <v>38</v>
      </c>
      <c r="I819" s="5">
        <v>8</v>
      </c>
      <c r="J819" s="10">
        <v>875</v>
      </c>
      <c r="K819" s="10">
        <v>7000</v>
      </c>
      <c r="L819" s="10">
        <v>5164.28</v>
      </c>
      <c r="M819" s="10">
        <v>1835.72</v>
      </c>
      <c r="N819" s="8" t="s">
        <v>32</v>
      </c>
      <c r="O819" s="8" t="s">
        <v>22</v>
      </c>
      <c r="P819" s="8" t="s">
        <v>40</v>
      </c>
      <c r="Q819" s="3">
        <f t="shared" si="13"/>
        <v>0.2622457142857143</v>
      </c>
      <c r="R819" s="8" t="str" cm="1">
        <f t="array" ref="R819">_xlfn.IFS(Q819&gt;40%,"Alta",Q819&gt;20%,"Média",Q819&lt;20%,"Baixa")</f>
        <v>Média</v>
      </c>
    </row>
    <row r="820" spans="1:18" x14ac:dyDescent="0.25">
      <c r="A820" s="5">
        <v>953</v>
      </c>
      <c r="B820" s="6">
        <v>45819</v>
      </c>
      <c r="C820" s="8" t="s">
        <v>34</v>
      </c>
      <c r="D820" s="8" t="s">
        <v>35</v>
      </c>
      <c r="E820" s="8" t="s">
        <v>41</v>
      </c>
      <c r="F820" s="5">
        <v>5071</v>
      </c>
      <c r="G820" s="8" t="s">
        <v>26</v>
      </c>
      <c r="H820" s="8" t="s">
        <v>31</v>
      </c>
      <c r="I820" s="5">
        <v>18</v>
      </c>
      <c r="J820" s="10">
        <v>386</v>
      </c>
      <c r="K820" s="10">
        <v>6948</v>
      </c>
      <c r="L820" s="10">
        <v>3528.99</v>
      </c>
      <c r="M820" s="10">
        <v>3419.01</v>
      </c>
      <c r="N820" s="8" t="s">
        <v>32</v>
      </c>
      <c r="O820" s="8" t="s">
        <v>33</v>
      </c>
      <c r="P820" s="8" t="s">
        <v>29</v>
      </c>
      <c r="Q820" s="3">
        <f t="shared" si="13"/>
        <v>0.49208549222797932</v>
      </c>
      <c r="R820" s="8" t="str" cm="1">
        <f t="array" ref="R820">_xlfn.IFS(Q820&gt;40%,"Alta",Q820&gt;20%,"Média",Q820&lt;20%,"Baixa")</f>
        <v>Alta</v>
      </c>
    </row>
    <row r="821" spans="1:18" x14ac:dyDescent="0.25">
      <c r="A821" s="5">
        <v>580</v>
      </c>
      <c r="B821" s="6">
        <v>45742</v>
      </c>
      <c r="C821" s="8" t="s">
        <v>24</v>
      </c>
      <c r="D821" s="8" t="s">
        <v>45</v>
      </c>
      <c r="E821" s="8" t="s">
        <v>18</v>
      </c>
      <c r="F821" s="5">
        <v>5977</v>
      </c>
      <c r="G821" s="8" t="s">
        <v>19</v>
      </c>
      <c r="H821" s="8" t="s">
        <v>31</v>
      </c>
      <c r="I821" s="5">
        <v>8</v>
      </c>
      <c r="J821" s="10">
        <v>862</v>
      </c>
      <c r="K821" s="10">
        <v>6896</v>
      </c>
      <c r="L821" s="10">
        <v>4276.8500000000004</v>
      </c>
      <c r="M821" s="10">
        <v>2619.15</v>
      </c>
      <c r="N821" s="8" t="s">
        <v>21</v>
      </c>
      <c r="O821" s="8" t="s">
        <v>33</v>
      </c>
      <c r="P821" s="8" t="s">
        <v>40</v>
      </c>
      <c r="Q821" s="3">
        <f t="shared" si="13"/>
        <v>0.37980713457076565</v>
      </c>
      <c r="R821" s="8" t="str" cm="1">
        <f t="array" ref="R821">_xlfn.IFS(Q821&gt;40%,"Alta",Q821&gt;20%,"Média",Q821&lt;20%,"Baixa")</f>
        <v>Média</v>
      </c>
    </row>
    <row r="822" spans="1:18" x14ac:dyDescent="0.25">
      <c r="A822" s="5">
        <v>41</v>
      </c>
      <c r="B822" s="6">
        <v>45686</v>
      </c>
      <c r="C822" s="8" t="s">
        <v>34</v>
      </c>
      <c r="D822" s="8" t="s">
        <v>42</v>
      </c>
      <c r="E822" s="8" t="s">
        <v>37</v>
      </c>
      <c r="F822" s="5">
        <v>4888</v>
      </c>
      <c r="G822" s="8" t="s">
        <v>26</v>
      </c>
      <c r="H822" s="8" t="s">
        <v>20</v>
      </c>
      <c r="I822" s="5">
        <v>5</v>
      </c>
      <c r="J822" s="10">
        <v>1371</v>
      </c>
      <c r="K822" s="10">
        <v>6855</v>
      </c>
      <c r="L822" s="10">
        <v>4646.3</v>
      </c>
      <c r="M822" s="10">
        <v>2208.6999999999998</v>
      </c>
      <c r="N822" s="8" t="s">
        <v>28</v>
      </c>
      <c r="O822" s="8" t="s">
        <v>39</v>
      </c>
      <c r="P822" s="8" t="s">
        <v>29</v>
      </c>
      <c r="Q822" s="3">
        <f t="shared" si="13"/>
        <v>0.32220277169948941</v>
      </c>
      <c r="R822" s="8" t="str" cm="1">
        <f t="array" ref="R822">_xlfn.IFS(Q822&gt;40%,"Alta",Q822&gt;20%,"Média",Q822&lt;20%,"Baixa")</f>
        <v>Média</v>
      </c>
    </row>
    <row r="823" spans="1:18" x14ac:dyDescent="0.25">
      <c r="A823" s="5">
        <v>614</v>
      </c>
      <c r="B823" s="6">
        <v>45770</v>
      </c>
      <c r="C823" s="8" t="s">
        <v>24</v>
      </c>
      <c r="D823" s="8" t="s">
        <v>42</v>
      </c>
      <c r="E823" s="8" t="s">
        <v>41</v>
      </c>
      <c r="F823" s="5">
        <v>8945</v>
      </c>
      <c r="G823" s="8" t="s">
        <v>19</v>
      </c>
      <c r="H823" s="8" t="s">
        <v>27</v>
      </c>
      <c r="I823" s="5">
        <v>3</v>
      </c>
      <c r="J823" s="10">
        <v>2253</v>
      </c>
      <c r="K823" s="10">
        <v>6759</v>
      </c>
      <c r="L823" s="10">
        <v>4565.6899999999996</v>
      </c>
      <c r="M823" s="10">
        <v>2193.31</v>
      </c>
      <c r="N823" s="8" t="s">
        <v>32</v>
      </c>
      <c r="O823" s="8" t="s">
        <v>39</v>
      </c>
      <c r="P823" s="8" t="s">
        <v>29</v>
      </c>
      <c r="Q823" s="3">
        <f t="shared" si="13"/>
        <v>0.32450214528776444</v>
      </c>
      <c r="R823" s="8" t="str" cm="1">
        <f t="array" ref="R823">_xlfn.IFS(Q823&gt;40%,"Alta",Q823&gt;20%,"Média",Q823&lt;20%,"Baixa")</f>
        <v>Média</v>
      </c>
    </row>
    <row r="824" spans="1:18" x14ac:dyDescent="0.25">
      <c r="A824" s="5">
        <v>43</v>
      </c>
      <c r="B824" s="6">
        <v>45740</v>
      </c>
      <c r="C824" s="8" t="s">
        <v>34</v>
      </c>
      <c r="D824" s="8" t="s">
        <v>42</v>
      </c>
      <c r="E824" s="8" t="s">
        <v>18</v>
      </c>
      <c r="F824" s="5">
        <v>7516</v>
      </c>
      <c r="G824" s="8" t="s">
        <v>19</v>
      </c>
      <c r="H824" s="8" t="s">
        <v>20</v>
      </c>
      <c r="I824" s="5">
        <v>3</v>
      </c>
      <c r="J824" s="10">
        <v>2234</v>
      </c>
      <c r="K824" s="10">
        <v>6702</v>
      </c>
      <c r="L824" s="10">
        <v>3990.54</v>
      </c>
      <c r="M824" s="10">
        <v>2711.46</v>
      </c>
      <c r="N824" s="8" t="s">
        <v>32</v>
      </c>
      <c r="O824" s="8" t="s">
        <v>22</v>
      </c>
      <c r="P824" s="8" t="s">
        <v>44</v>
      </c>
      <c r="Q824" s="3">
        <f t="shared" si="13"/>
        <v>0.40457475380483437</v>
      </c>
      <c r="R824" s="8" t="str" cm="1">
        <f t="array" ref="R824">_xlfn.IFS(Q824&gt;40%,"Alta",Q824&gt;20%,"Média",Q824&lt;20%,"Baixa")</f>
        <v>Alta</v>
      </c>
    </row>
    <row r="825" spans="1:18" x14ac:dyDescent="0.25">
      <c r="A825" s="5">
        <v>559</v>
      </c>
      <c r="B825" s="6">
        <v>45816</v>
      </c>
      <c r="C825" s="8" t="s">
        <v>24</v>
      </c>
      <c r="D825" s="8" t="s">
        <v>45</v>
      </c>
      <c r="E825" s="8" t="s">
        <v>37</v>
      </c>
      <c r="F825" s="5">
        <v>5062</v>
      </c>
      <c r="G825" s="8" t="s">
        <v>36</v>
      </c>
      <c r="H825" s="8" t="s">
        <v>43</v>
      </c>
      <c r="I825" s="5">
        <v>2</v>
      </c>
      <c r="J825" s="10">
        <v>3340</v>
      </c>
      <c r="K825" s="10">
        <v>6680</v>
      </c>
      <c r="L825" s="10">
        <v>4154.78</v>
      </c>
      <c r="M825" s="10">
        <v>2525.2199999999998</v>
      </c>
      <c r="N825" s="8" t="s">
        <v>21</v>
      </c>
      <c r="O825" s="8" t="s">
        <v>33</v>
      </c>
      <c r="P825" s="8" t="s">
        <v>29</v>
      </c>
      <c r="Q825" s="3">
        <f t="shared" si="13"/>
        <v>0.37802694610778442</v>
      </c>
      <c r="R825" s="8" t="str" cm="1">
        <f t="array" ref="R825">_xlfn.IFS(Q825&gt;40%,"Alta",Q825&gt;20%,"Média",Q825&lt;20%,"Baixa")</f>
        <v>Média</v>
      </c>
    </row>
    <row r="826" spans="1:18" x14ac:dyDescent="0.25">
      <c r="A826" s="5">
        <v>214</v>
      </c>
      <c r="B826" s="6">
        <v>45809</v>
      </c>
      <c r="C826" s="8" t="s">
        <v>24</v>
      </c>
      <c r="D826" s="8" t="s">
        <v>30</v>
      </c>
      <c r="E826" s="8" t="s">
        <v>41</v>
      </c>
      <c r="F826" s="5">
        <v>3151</v>
      </c>
      <c r="G826" s="8" t="s">
        <v>19</v>
      </c>
      <c r="H826" s="8" t="s">
        <v>43</v>
      </c>
      <c r="I826" s="5">
        <v>3</v>
      </c>
      <c r="J826" s="10">
        <v>2226</v>
      </c>
      <c r="K826" s="10">
        <v>6678</v>
      </c>
      <c r="L826" s="10">
        <v>3030.26</v>
      </c>
      <c r="M826" s="10">
        <v>3647.74</v>
      </c>
      <c r="N826" s="8" t="s">
        <v>21</v>
      </c>
      <c r="O826" s="8" t="s">
        <v>22</v>
      </c>
      <c r="P826" s="8" t="s">
        <v>44</v>
      </c>
      <c r="Q826" s="3">
        <f t="shared" si="13"/>
        <v>0.54623240491165015</v>
      </c>
      <c r="R826" s="8" t="str" cm="1">
        <f t="array" ref="R826">_xlfn.IFS(Q826&gt;40%,"Alta",Q826&gt;20%,"Média",Q826&lt;20%,"Baixa")</f>
        <v>Alta</v>
      </c>
    </row>
    <row r="827" spans="1:18" x14ac:dyDescent="0.25">
      <c r="A827" s="5">
        <v>379</v>
      </c>
      <c r="B827" s="6">
        <v>45794</v>
      </c>
      <c r="C827" s="8" t="s">
        <v>34</v>
      </c>
      <c r="D827" s="8" t="s">
        <v>35</v>
      </c>
      <c r="E827" s="8" t="s">
        <v>41</v>
      </c>
      <c r="F827" s="5">
        <v>2083</v>
      </c>
      <c r="G827" s="8" t="s">
        <v>36</v>
      </c>
      <c r="H827" s="8" t="s">
        <v>43</v>
      </c>
      <c r="I827" s="5">
        <v>2</v>
      </c>
      <c r="J827" s="10">
        <v>3315</v>
      </c>
      <c r="K827" s="10">
        <v>6630</v>
      </c>
      <c r="L827" s="10">
        <v>2971.38</v>
      </c>
      <c r="M827" s="10">
        <v>3658.62</v>
      </c>
      <c r="N827" s="8" t="s">
        <v>28</v>
      </c>
      <c r="O827" s="8" t="s">
        <v>22</v>
      </c>
      <c r="P827" s="8" t="s">
        <v>29</v>
      </c>
      <c r="Q827" s="3">
        <f t="shared" si="13"/>
        <v>0.55182805429864257</v>
      </c>
      <c r="R827" s="8" t="str" cm="1">
        <f t="array" ref="R827">_xlfn.IFS(Q827&gt;40%,"Alta",Q827&gt;20%,"Média",Q827&lt;20%,"Baixa")</f>
        <v>Alta</v>
      </c>
    </row>
    <row r="828" spans="1:18" x14ac:dyDescent="0.25">
      <c r="A828" s="5">
        <v>405</v>
      </c>
      <c r="B828" s="6">
        <v>45807</v>
      </c>
      <c r="C828" s="8" t="s">
        <v>34</v>
      </c>
      <c r="D828" s="8" t="s">
        <v>35</v>
      </c>
      <c r="E828" s="8" t="s">
        <v>41</v>
      </c>
      <c r="F828" s="5">
        <v>1881</v>
      </c>
      <c r="G828" s="8" t="s">
        <v>26</v>
      </c>
      <c r="H828" s="8" t="s">
        <v>20</v>
      </c>
      <c r="I828" s="5">
        <v>15</v>
      </c>
      <c r="J828" s="10">
        <v>439</v>
      </c>
      <c r="K828" s="10">
        <v>6585</v>
      </c>
      <c r="L828" s="10">
        <v>4787.78</v>
      </c>
      <c r="M828" s="10">
        <v>1797.22</v>
      </c>
      <c r="N828" s="8" t="s">
        <v>32</v>
      </c>
      <c r="O828" s="8" t="s">
        <v>33</v>
      </c>
      <c r="P828" s="8" t="s">
        <v>29</v>
      </c>
      <c r="Q828" s="3">
        <f t="shared" si="13"/>
        <v>0.27292634776006075</v>
      </c>
      <c r="R828" s="8" t="str" cm="1">
        <f t="array" ref="R828">_xlfn.IFS(Q828&gt;40%,"Alta",Q828&gt;20%,"Média",Q828&lt;20%,"Baixa")</f>
        <v>Média</v>
      </c>
    </row>
    <row r="829" spans="1:18" x14ac:dyDescent="0.25">
      <c r="A829" s="5">
        <v>914</v>
      </c>
      <c r="B829" s="6">
        <v>45698</v>
      </c>
      <c r="C829" s="8" t="s">
        <v>47</v>
      </c>
      <c r="D829" s="8" t="s">
        <v>30</v>
      </c>
      <c r="E829" s="8" t="s">
        <v>25</v>
      </c>
      <c r="F829" s="5">
        <v>9338</v>
      </c>
      <c r="G829" s="8" t="s">
        <v>26</v>
      </c>
      <c r="H829" s="8" t="s">
        <v>27</v>
      </c>
      <c r="I829" s="5">
        <v>15</v>
      </c>
      <c r="J829" s="10">
        <v>438</v>
      </c>
      <c r="K829" s="10">
        <v>6570</v>
      </c>
      <c r="L829" s="10">
        <v>4971.8999999999996</v>
      </c>
      <c r="M829" s="10">
        <v>1598.1</v>
      </c>
      <c r="N829" s="8" t="s">
        <v>21</v>
      </c>
      <c r="O829" s="8" t="s">
        <v>39</v>
      </c>
      <c r="P829" s="8" t="s">
        <v>46</v>
      </c>
      <c r="Q829" s="3">
        <f t="shared" si="13"/>
        <v>0.24324200913242008</v>
      </c>
      <c r="R829" s="8" t="str" cm="1">
        <f t="array" ref="R829">_xlfn.IFS(Q829&gt;40%,"Alta",Q829&gt;20%,"Média",Q829&lt;20%,"Baixa")</f>
        <v>Média</v>
      </c>
    </row>
    <row r="830" spans="1:18" x14ac:dyDescent="0.25">
      <c r="A830" s="5">
        <v>467</v>
      </c>
      <c r="B830" s="6">
        <v>45694</v>
      </c>
      <c r="C830" s="8" t="s">
        <v>16</v>
      </c>
      <c r="D830" s="8" t="s">
        <v>30</v>
      </c>
      <c r="E830" s="8" t="s">
        <v>41</v>
      </c>
      <c r="F830" s="5">
        <v>4121</v>
      </c>
      <c r="G830" s="8" t="s">
        <v>19</v>
      </c>
      <c r="H830" s="8" t="s">
        <v>38</v>
      </c>
      <c r="I830" s="5">
        <v>14</v>
      </c>
      <c r="J830" s="10">
        <v>467</v>
      </c>
      <c r="K830" s="10">
        <v>6538</v>
      </c>
      <c r="L830" s="10">
        <v>2670.51</v>
      </c>
      <c r="M830" s="10">
        <v>3867.49</v>
      </c>
      <c r="N830" s="8" t="s">
        <v>28</v>
      </c>
      <c r="O830" s="8" t="s">
        <v>33</v>
      </c>
      <c r="P830" s="8" t="s">
        <v>44</v>
      </c>
      <c r="Q830" s="3">
        <f t="shared" si="13"/>
        <v>0.59154022636892012</v>
      </c>
      <c r="R830" s="8" t="str" cm="1">
        <f t="array" ref="R830">_xlfn.IFS(Q830&gt;40%,"Alta",Q830&gt;20%,"Média",Q830&lt;20%,"Baixa")</f>
        <v>Alta</v>
      </c>
    </row>
    <row r="831" spans="1:18" x14ac:dyDescent="0.25">
      <c r="A831" s="5">
        <v>785</v>
      </c>
      <c r="B831" s="6">
        <v>45832</v>
      </c>
      <c r="C831" s="8" t="s">
        <v>47</v>
      </c>
      <c r="D831" s="8" t="s">
        <v>35</v>
      </c>
      <c r="E831" s="8" t="s">
        <v>41</v>
      </c>
      <c r="F831" s="5">
        <v>7250</v>
      </c>
      <c r="G831" s="8" t="s">
        <v>19</v>
      </c>
      <c r="H831" s="8" t="s">
        <v>31</v>
      </c>
      <c r="I831" s="5">
        <v>3</v>
      </c>
      <c r="J831" s="10">
        <v>2140</v>
      </c>
      <c r="K831" s="10">
        <v>6420</v>
      </c>
      <c r="L831" s="10">
        <v>4544.75</v>
      </c>
      <c r="M831" s="10">
        <v>1875.25</v>
      </c>
      <c r="N831" s="8" t="s">
        <v>28</v>
      </c>
      <c r="O831" s="8" t="s">
        <v>33</v>
      </c>
      <c r="P831" s="8" t="s">
        <v>44</v>
      </c>
      <c r="Q831" s="3">
        <f t="shared" si="13"/>
        <v>0.292095015576324</v>
      </c>
      <c r="R831" s="8" t="str" cm="1">
        <f t="array" ref="R831">_xlfn.IFS(Q831&gt;40%,"Alta",Q831&gt;20%,"Média",Q831&lt;20%,"Baixa")</f>
        <v>Média</v>
      </c>
    </row>
    <row r="832" spans="1:18" x14ac:dyDescent="0.25">
      <c r="A832" s="5">
        <v>85</v>
      </c>
      <c r="B832" s="6">
        <v>45833</v>
      </c>
      <c r="C832" s="8" t="s">
        <v>34</v>
      </c>
      <c r="D832" s="8" t="s">
        <v>17</v>
      </c>
      <c r="E832" s="8" t="s">
        <v>41</v>
      </c>
      <c r="F832" s="5">
        <v>6590</v>
      </c>
      <c r="G832" s="8" t="s">
        <v>36</v>
      </c>
      <c r="H832" s="8" t="s">
        <v>20</v>
      </c>
      <c r="I832" s="5">
        <v>10</v>
      </c>
      <c r="J832" s="10">
        <v>640</v>
      </c>
      <c r="K832" s="10">
        <v>6400</v>
      </c>
      <c r="L832" s="10">
        <v>4604.46</v>
      </c>
      <c r="M832" s="10">
        <v>1795.54</v>
      </c>
      <c r="N832" s="8" t="s">
        <v>21</v>
      </c>
      <c r="O832" s="8" t="s">
        <v>33</v>
      </c>
      <c r="P832" s="8" t="s">
        <v>23</v>
      </c>
      <c r="Q832" s="3">
        <f t="shared" si="13"/>
        <v>0.28055312500000001</v>
      </c>
      <c r="R832" s="8" t="str" cm="1">
        <f t="array" ref="R832">_xlfn.IFS(Q832&gt;40%,"Alta",Q832&gt;20%,"Média",Q832&lt;20%,"Baixa")</f>
        <v>Média</v>
      </c>
    </row>
    <row r="833" spans="1:18" x14ac:dyDescent="0.25">
      <c r="A833" s="5">
        <v>298</v>
      </c>
      <c r="B833" s="6">
        <v>45736</v>
      </c>
      <c r="C833" s="8" t="s">
        <v>34</v>
      </c>
      <c r="D833" s="8" t="s">
        <v>17</v>
      </c>
      <c r="E833" s="8" t="s">
        <v>18</v>
      </c>
      <c r="F833" s="5">
        <v>3436</v>
      </c>
      <c r="G833" s="8" t="s">
        <v>36</v>
      </c>
      <c r="H833" s="8" t="s">
        <v>38</v>
      </c>
      <c r="I833" s="5">
        <v>4</v>
      </c>
      <c r="J833" s="10">
        <v>1589</v>
      </c>
      <c r="K833" s="10">
        <v>6356</v>
      </c>
      <c r="L833" s="10">
        <v>4232.8</v>
      </c>
      <c r="M833" s="10">
        <v>2123.1999999999998</v>
      </c>
      <c r="N833" s="8" t="s">
        <v>28</v>
      </c>
      <c r="O833" s="8" t="s">
        <v>33</v>
      </c>
      <c r="P833" s="8" t="s">
        <v>23</v>
      </c>
      <c r="Q833" s="3">
        <f t="shared" si="13"/>
        <v>0.33404657016991818</v>
      </c>
      <c r="R833" s="8" t="str" cm="1">
        <f t="array" ref="R833">_xlfn.IFS(Q833&gt;40%,"Alta",Q833&gt;20%,"Média",Q833&lt;20%,"Baixa")</f>
        <v>Média</v>
      </c>
    </row>
    <row r="834" spans="1:18" x14ac:dyDescent="0.25">
      <c r="A834" s="5">
        <v>145</v>
      </c>
      <c r="B834" s="6">
        <v>45768</v>
      </c>
      <c r="C834" s="8" t="s">
        <v>34</v>
      </c>
      <c r="D834" s="8" t="s">
        <v>45</v>
      </c>
      <c r="E834" s="8" t="s">
        <v>25</v>
      </c>
      <c r="F834" s="5">
        <v>6445</v>
      </c>
      <c r="G834" s="8" t="s">
        <v>19</v>
      </c>
      <c r="H834" s="8" t="s">
        <v>27</v>
      </c>
      <c r="I834" s="5">
        <v>3</v>
      </c>
      <c r="J834" s="10">
        <v>2080</v>
      </c>
      <c r="K834" s="10">
        <v>6240</v>
      </c>
      <c r="L834" s="10">
        <v>3722.03</v>
      </c>
      <c r="M834" s="10">
        <v>2517.9699999999998</v>
      </c>
      <c r="N834" s="8" t="s">
        <v>21</v>
      </c>
      <c r="O834" s="8" t="s">
        <v>33</v>
      </c>
      <c r="P834" s="8" t="s">
        <v>44</v>
      </c>
      <c r="Q834" s="3">
        <f t="shared" ref="Q834:Q897" si="14">M834/K834</f>
        <v>0.40352083333333333</v>
      </c>
      <c r="R834" s="8" t="str" cm="1">
        <f t="array" ref="R834">_xlfn.IFS(Q834&gt;40%,"Alta",Q834&gt;20%,"Média",Q834&lt;20%,"Baixa")</f>
        <v>Alta</v>
      </c>
    </row>
    <row r="835" spans="1:18" x14ac:dyDescent="0.25">
      <c r="A835" s="5">
        <v>20</v>
      </c>
      <c r="B835" s="6">
        <v>45808</v>
      </c>
      <c r="C835" s="8" t="s">
        <v>24</v>
      </c>
      <c r="D835" s="8" t="s">
        <v>30</v>
      </c>
      <c r="E835" s="8" t="s">
        <v>25</v>
      </c>
      <c r="F835" s="5">
        <v>6842</v>
      </c>
      <c r="G835" s="8" t="s">
        <v>36</v>
      </c>
      <c r="H835" s="8" t="s">
        <v>20</v>
      </c>
      <c r="I835" s="5">
        <v>2</v>
      </c>
      <c r="J835" s="10">
        <v>3077</v>
      </c>
      <c r="K835" s="10">
        <v>6154</v>
      </c>
      <c r="L835" s="10">
        <v>4301.83</v>
      </c>
      <c r="M835" s="10">
        <v>1852.17</v>
      </c>
      <c r="N835" s="8" t="s">
        <v>21</v>
      </c>
      <c r="O835" s="8" t="s">
        <v>39</v>
      </c>
      <c r="P835" s="8" t="s">
        <v>29</v>
      </c>
      <c r="Q835" s="3">
        <f t="shared" si="14"/>
        <v>0.30097010074748132</v>
      </c>
      <c r="R835" s="8" t="str" cm="1">
        <f t="array" ref="R835">_xlfn.IFS(Q835&gt;40%,"Alta",Q835&gt;20%,"Média",Q835&lt;20%,"Baixa")</f>
        <v>Média</v>
      </c>
    </row>
    <row r="836" spans="1:18" x14ac:dyDescent="0.25">
      <c r="A836" s="5">
        <v>613</v>
      </c>
      <c r="B836" s="6">
        <v>45697</v>
      </c>
      <c r="C836" s="8" t="s">
        <v>34</v>
      </c>
      <c r="D836" s="8" t="s">
        <v>35</v>
      </c>
      <c r="E836" s="8" t="s">
        <v>37</v>
      </c>
      <c r="F836" s="5">
        <v>6609</v>
      </c>
      <c r="G836" s="8" t="s">
        <v>36</v>
      </c>
      <c r="H836" s="8" t="s">
        <v>20</v>
      </c>
      <c r="I836" s="5">
        <v>7</v>
      </c>
      <c r="J836" s="10">
        <v>862</v>
      </c>
      <c r="K836" s="10">
        <v>6034</v>
      </c>
      <c r="L836" s="10">
        <v>4367.51</v>
      </c>
      <c r="M836" s="10">
        <v>1666.49</v>
      </c>
      <c r="N836" s="8" t="s">
        <v>21</v>
      </c>
      <c r="O836" s="8" t="s">
        <v>33</v>
      </c>
      <c r="P836" s="8" t="s">
        <v>46</v>
      </c>
      <c r="Q836" s="3">
        <f t="shared" si="14"/>
        <v>0.27618329466357311</v>
      </c>
      <c r="R836" s="8" t="str" cm="1">
        <f t="array" ref="R836">_xlfn.IFS(Q836&gt;40%,"Alta",Q836&gt;20%,"Média",Q836&lt;20%,"Baixa")</f>
        <v>Média</v>
      </c>
    </row>
    <row r="837" spans="1:18" x14ac:dyDescent="0.25">
      <c r="A837" s="5">
        <v>428</v>
      </c>
      <c r="B837" s="6">
        <v>45699</v>
      </c>
      <c r="C837" s="8" t="s">
        <v>16</v>
      </c>
      <c r="D837" s="8" t="s">
        <v>42</v>
      </c>
      <c r="E837" s="8" t="s">
        <v>41</v>
      </c>
      <c r="F837" s="5">
        <v>5952</v>
      </c>
      <c r="G837" s="8" t="s">
        <v>36</v>
      </c>
      <c r="H837" s="8" t="s">
        <v>20</v>
      </c>
      <c r="I837" s="5">
        <v>7</v>
      </c>
      <c r="J837" s="10">
        <v>850</v>
      </c>
      <c r="K837" s="10">
        <v>5950</v>
      </c>
      <c r="L837" s="10">
        <v>4168.16</v>
      </c>
      <c r="M837" s="10">
        <v>1781.84</v>
      </c>
      <c r="N837" s="8" t="s">
        <v>32</v>
      </c>
      <c r="O837" s="8" t="s">
        <v>33</v>
      </c>
      <c r="P837" s="8" t="s">
        <v>23</v>
      </c>
      <c r="Q837" s="3">
        <f t="shared" si="14"/>
        <v>0.29946890756302519</v>
      </c>
      <c r="R837" s="8" t="str" cm="1">
        <f t="array" ref="R837">_xlfn.IFS(Q837&gt;40%,"Alta",Q837&gt;20%,"Média",Q837&lt;20%,"Baixa")</f>
        <v>Média</v>
      </c>
    </row>
    <row r="838" spans="1:18" x14ac:dyDescent="0.25">
      <c r="A838" s="5">
        <v>438</v>
      </c>
      <c r="B838" s="6">
        <v>45756</v>
      </c>
      <c r="C838" s="8" t="s">
        <v>47</v>
      </c>
      <c r="D838" s="8" t="s">
        <v>30</v>
      </c>
      <c r="E838" s="8" t="s">
        <v>18</v>
      </c>
      <c r="F838" s="5">
        <v>9101</v>
      </c>
      <c r="G838" s="8" t="s">
        <v>26</v>
      </c>
      <c r="H838" s="8" t="s">
        <v>31</v>
      </c>
      <c r="I838" s="5">
        <v>17</v>
      </c>
      <c r="J838" s="10">
        <v>350</v>
      </c>
      <c r="K838" s="10">
        <v>5950</v>
      </c>
      <c r="L838" s="10">
        <v>4460.16</v>
      </c>
      <c r="M838" s="10">
        <v>1489.84</v>
      </c>
      <c r="N838" s="8" t="s">
        <v>32</v>
      </c>
      <c r="O838" s="8" t="s">
        <v>22</v>
      </c>
      <c r="P838" s="8" t="s">
        <v>44</v>
      </c>
      <c r="Q838" s="3">
        <f t="shared" si="14"/>
        <v>0.25039327731092437</v>
      </c>
      <c r="R838" s="8" t="str" cm="1">
        <f t="array" ref="R838">_xlfn.IFS(Q838&gt;40%,"Alta",Q838&gt;20%,"Média",Q838&lt;20%,"Baixa")</f>
        <v>Média</v>
      </c>
    </row>
    <row r="839" spans="1:18" x14ac:dyDescent="0.25">
      <c r="A839" s="5">
        <v>68</v>
      </c>
      <c r="B839" s="6">
        <v>45767</v>
      </c>
      <c r="C839" s="8" t="s">
        <v>24</v>
      </c>
      <c r="D839" s="8" t="s">
        <v>30</v>
      </c>
      <c r="E839" s="8" t="s">
        <v>41</v>
      </c>
      <c r="F839" s="5">
        <v>1540</v>
      </c>
      <c r="G839" s="8" t="s">
        <v>26</v>
      </c>
      <c r="H839" s="8" t="s">
        <v>27</v>
      </c>
      <c r="I839" s="5">
        <v>7</v>
      </c>
      <c r="J839" s="10">
        <v>834</v>
      </c>
      <c r="K839" s="10">
        <v>5838</v>
      </c>
      <c r="L839" s="10">
        <v>3933.21</v>
      </c>
      <c r="M839" s="10">
        <v>1904.79</v>
      </c>
      <c r="N839" s="8" t="s">
        <v>21</v>
      </c>
      <c r="O839" s="8" t="s">
        <v>33</v>
      </c>
      <c r="P839" s="8" t="s">
        <v>40</v>
      </c>
      <c r="Q839" s="3">
        <f t="shared" si="14"/>
        <v>0.32627440904419319</v>
      </c>
      <c r="R839" s="8" t="str" cm="1">
        <f t="array" ref="R839">_xlfn.IFS(Q839&gt;40%,"Alta",Q839&gt;20%,"Média",Q839&lt;20%,"Baixa")</f>
        <v>Média</v>
      </c>
    </row>
    <row r="840" spans="1:18" x14ac:dyDescent="0.25">
      <c r="A840" s="5">
        <v>868</v>
      </c>
      <c r="B840" s="6">
        <v>45838</v>
      </c>
      <c r="C840" s="8" t="s">
        <v>24</v>
      </c>
      <c r="D840" s="8" t="s">
        <v>30</v>
      </c>
      <c r="E840" s="8" t="s">
        <v>18</v>
      </c>
      <c r="F840" s="5">
        <v>4118</v>
      </c>
      <c r="G840" s="8" t="s">
        <v>26</v>
      </c>
      <c r="H840" s="8" t="s">
        <v>27</v>
      </c>
      <c r="I840" s="5">
        <v>4</v>
      </c>
      <c r="J840" s="10">
        <v>1443</v>
      </c>
      <c r="K840" s="10">
        <v>5772</v>
      </c>
      <c r="L840" s="10">
        <v>4536.18</v>
      </c>
      <c r="M840" s="10">
        <v>1235.82</v>
      </c>
      <c r="N840" s="8" t="s">
        <v>28</v>
      </c>
      <c r="O840" s="8" t="s">
        <v>39</v>
      </c>
      <c r="P840" s="8" t="s">
        <v>23</v>
      </c>
      <c r="Q840" s="3">
        <f t="shared" si="14"/>
        <v>0.21410602910602911</v>
      </c>
      <c r="R840" s="8" t="str" cm="1">
        <f t="array" ref="R840">_xlfn.IFS(Q840&gt;40%,"Alta",Q840&gt;20%,"Média",Q840&lt;20%,"Baixa")</f>
        <v>Média</v>
      </c>
    </row>
    <row r="841" spans="1:18" x14ac:dyDescent="0.25">
      <c r="A841" s="5">
        <v>447</v>
      </c>
      <c r="B841" s="6">
        <v>45681</v>
      </c>
      <c r="C841" s="8" t="s">
        <v>34</v>
      </c>
      <c r="D841" s="8" t="s">
        <v>45</v>
      </c>
      <c r="E841" s="8" t="s">
        <v>18</v>
      </c>
      <c r="F841" s="5">
        <v>1532</v>
      </c>
      <c r="G841" s="8" t="s">
        <v>19</v>
      </c>
      <c r="H841" s="8" t="s">
        <v>38</v>
      </c>
      <c r="I841" s="5">
        <v>11</v>
      </c>
      <c r="J841" s="10">
        <v>523</v>
      </c>
      <c r="K841" s="10">
        <v>5753</v>
      </c>
      <c r="L841" s="10">
        <v>2947.28</v>
      </c>
      <c r="M841" s="10">
        <v>2805.72</v>
      </c>
      <c r="N841" s="8" t="s">
        <v>28</v>
      </c>
      <c r="O841" s="8" t="s">
        <v>33</v>
      </c>
      <c r="P841" s="8" t="s">
        <v>40</v>
      </c>
      <c r="Q841" s="3">
        <f t="shared" si="14"/>
        <v>0.48769685381540062</v>
      </c>
      <c r="R841" s="8" t="str" cm="1">
        <f t="array" ref="R841">_xlfn.IFS(Q841&gt;40%,"Alta",Q841&gt;20%,"Média",Q841&lt;20%,"Baixa")</f>
        <v>Alta</v>
      </c>
    </row>
    <row r="842" spans="1:18" x14ac:dyDescent="0.25">
      <c r="A842" s="5">
        <v>571</v>
      </c>
      <c r="B842" s="6">
        <v>45778</v>
      </c>
      <c r="C842" s="8" t="s">
        <v>16</v>
      </c>
      <c r="D842" s="8" t="s">
        <v>42</v>
      </c>
      <c r="E842" s="8" t="s">
        <v>18</v>
      </c>
      <c r="F842" s="5">
        <v>6846</v>
      </c>
      <c r="G842" s="8" t="s">
        <v>36</v>
      </c>
      <c r="H842" s="8" t="s">
        <v>31</v>
      </c>
      <c r="I842" s="5">
        <v>6</v>
      </c>
      <c r="J842" s="10">
        <v>958</v>
      </c>
      <c r="K842" s="10">
        <v>5748</v>
      </c>
      <c r="L842" s="10">
        <v>2905.03</v>
      </c>
      <c r="M842" s="10">
        <v>2842.97</v>
      </c>
      <c r="N842" s="8" t="s">
        <v>21</v>
      </c>
      <c r="O842" s="8" t="s">
        <v>22</v>
      </c>
      <c r="P842" s="8" t="s">
        <v>40</v>
      </c>
      <c r="Q842" s="3">
        <f t="shared" si="14"/>
        <v>0.49460160055671537</v>
      </c>
      <c r="R842" s="8" t="str" cm="1">
        <f t="array" ref="R842">_xlfn.IFS(Q842&gt;40%,"Alta",Q842&gt;20%,"Média",Q842&lt;20%,"Baixa")</f>
        <v>Alta</v>
      </c>
    </row>
    <row r="843" spans="1:18" x14ac:dyDescent="0.25">
      <c r="A843" s="5">
        <v>211</v>
      </c>
      <c r="B843" s="6">
        <v>45721</v>
      </c>
      <c r="C843" s="8" t="s">
        <v>16</v>
      </c>
      <c r="D843" s="8" t="s">
        <v>35</v>
      </c>
      <c r="E843" s="8" t="s">
        <v>37</v>
      </c>
      <c r="F843" s="5">
        <v>5022</v>
      </c>
      <c r="G843" s="8" t="s">
        <v>26</v>
      </c>
      <c r="H843" s="8" t="s">
        <v>20</v>
      </c>
      <c r="I843" s="5">
        <v>7</v>
      </c>
      <c r="J843" s="10">
        <v>819</v>
      </c>
      <c r="K843" s="10">
        <v>5733</v>
      </c>
      <c r="L843" s="10">
        <v>3024.88</v>
      </c>
      <c r="M843" s="10">
        <v>2708.12</v>
      </c>
      <c r="N843" s="8" t="s">
        <v>32</v>
      </c>
      <c r="O843" s="8" t="s">
        <v>22</v>
      </c>
      <c r="P843" s="8" t="s">
        <v>40</v>
      </c>
      <c r="Q843" s="3">
        <f t="shared" si="14"/>
        <v>0.47237397523111807</v>
      </c>
      <c r="R843" s="8" t="str" cm="1">
        <f t="array" ref="R843">_xlfn.IFS(Q843&gt;40%,"Alta",Q843&gt;20%,"Média",Q843&lt;20%,"Baixa")</f>
        <v>Alta</v>
      </c>
    </row>
    <row r="844" spans="1:18" x14ac:dyDescent="0.25">
      <c r="A844" s="5">
        <v>86</v>
      </c>
      <c r="B844" s="6">
        <v>45667</v>
      </c>
      <c r="C844" s="8" t="s">
        <v>24</v>
      </c>
      <c r="D844" s="8" t="s">
        <v>17</v>
      </c>
      <c r="E844" s="8" t="s">
        <v>41</v>
      </c>
      <c r="F844" s="5">
        <v>7132</v>
      </c>
      <c r="G844" s="8" t="s">
        <v>19</v>
      </c>
      <c r="H844" s="8" t="s">
        <v>27</v>
      </c>
      <c r="I844" s="5">
        <v>14</v>
      </c>
      <c r="J844" s="10">
        <v>397</v>
      </c>
      <c r="K844" s="10">
        <v>5558</v>
      </c>
      <c r="L844" s="10">
        <v>2265.06</v>
      </c>
      <c r="M844" s="10">
        <v>3292.94</v>
      </c>
      <c r="N844" s="8" t="s">
        <v>32</v>
      </c>
      <c r="O844" s="8" t="s">
        <v>33</v>
      </c>
      <c r="P844" s="8" t="s">
        <v>46</v>
      </c>
      <c r="Q844" s="3">
        <f t="shared" si="14"/>
        <v>0.59246851385390431</v>
      </c>
      <c r="R844" s="8" t="str" cm="1">
        <f t="array" ref="R844">_xlfn.IFS(Q844&gt;40%,"Alta",Q844&gt;20%,"Média",Q844&lt;20%,"Baixa")</f>
        <v>Alta</v>
      </c>
    </row>
    <row r="845" spans="1:18" x14ac:dyDescent="0.25">
      <c r="A845" s="5">
        <v>671</v>
      </c>
      <c r="B845" s="6">
        <v>45810</v>
      </c>
      <c r="C845" s="8" t="s">
        <v>24</v>
      </c>
      <c r="D845" s="8" t="s">
        <v>17</v>
      </c>
      <c r="E845" s="8" t="s">
        <v>41</v>
      </c>
      <c r="F845" s="5">
        <v>9053</v>
      </c>
      <c r="G845" s="8" t="s">
        <v>36</v>
      </c>
      <c r="H845" s="8" t="s">
        <v>31</v>
      </c>
      <c r="I845" s="5">
        <v>6</v>
      </c>
      <c r="J845" s="10">
        <v>925</v>
      </c>
      <c r="K845" s="10">
        <v>5550</v>
      </c>
      <c r="L845" s="10">
        <v>4122.13</v>
      </c>
      <c r="M845" s="10">
        <v>1427.87</v>
      </c>
      <c r="N845" s="8" t="s">
        <v>32</v>
      </c>
      <c r="O845" s="8" t="s">
        <v>22</v>
      </c>
      <c r="P845" s="8" t="s">
        <v>29</v>
      </c>
      <c r="Q845" s="3">
        <f t="shared" si="14"/>
        <v>0.25727387387387385</v>
      </c>
      <c r="R845" s="8" t="str" cm="1">
        <f t="array" ref="R845">_xlfn.IFS(Q845&gt;40%,"Alta",Q845&gt;20%,"Média",Q845&lt;20%,"Baixa")</f>
        <v>Média</v>
      </c>
    </row>
    <row r="846" spans="1:18" x14ac:dyDescent="0.25">
      <c r="A846" s="5">
        <v>708</v>
      </c>
      <c r="B846" s="6">
        <v>45803</v>
      </c>
      <c r="C846" s="8" t="s">
        <v>47</v>
      </c>
      <c r="D846" s="8" t="s">
        <v>35</v>
      </c>
      <c r="E846" s="8" t="s">
        <v>18</v>
      </c>
      <c r="F846" s="5">
        <v>1099</v>
      </c>
      <c r="G846" s="8" t="s">
        <v>26</v>
      </c>
      <c r="H846" s="8" t="s">
        <v>27</v>
      </c>
      <c r="I846" s="5">
        <v>11</v>
      </c>
      <c r="J846" s="10">
        <v>496</v>
      </c>
      <c r="K846" s="10">
        <v>5456</v>
      </c>
      <c r="L846" s="10">
        <v>3111.11</v>
      </c>
      <c r="M846" s="10">
        <v>2344.89</v>
      </c>
      <c r="N846" s="8" t="s">
        <v>28</v>
      </c>
      <c r="O846" s="8" t="s">
        <v>33</v>
      </c>
      <c r="P846" s="8" t="s">
        <v>44</v>
      </c>
      <c r="Q846" s="3">
        <f t="shared" si="14"/>
        <v>0.42978189149560114</v>
      </c>
      <c r="R846" s="8" t="str" cm="1">
        <f t="array" ref="R846">_xlfn.IFS(Q846&gt;40%,"Alta",Q846&gt;20%,"Média",Q846&lt;20%,"Baixa")</f>
        <v>Alta</v>
      </c>
    </row>
    <row r="847" spans="1:18" x14ac:dyDescent="0.25">
      <c r="A847" s="5">
        <v>516</v>
      </c>
      <c r="B847" s="6">
        <v>45667</v>
      </c>
      <c r="C847" s="8" t="s">
        <v>24</v>
      </c>
      <c r="D847" s="8" t="s">
        <v>35</v>
      </c>
      <c r="E847" s="8" t="s">
        <v>41</v>
      </c>
      <c r="F847" s="5">
        <v>3098</v>
      </c>
      <c r="G847" s="8" t="s">
        <v>36</v>
      </c>
      <c r="H847" s="8" t="s">
        <v>38</v>
      </c>
      <c r="I847" s="5">
        <v>8</v>
      </c>
      <c r="J847" s="10">
        <v>678</v>
      </c>
      <c r="K847" s="10">
        <v>5424</v>
      </c>
      <c r="L847" s="10">
        <v>3796.95</v>
      </c>
      <c r="M847" s="10">
        <v>1627.05</v>
      </c>
      <c r="N847" s="8" t="s">
        <v>21</v>
      </c>
      <c r="O847" s="8" t="s">
        <v>22</v>
      </c>
      <c r="P847" s="8" t="s">
        <v>44</v>
      </c>
      <c r="Q847" s="3">
        <f t="shared" si="14"/>
        <v>0.29997234513274335</v>
      </c>
      <c r="R847" s="8" t="str" cm="1">
        <f t="array" ref="R847">_xlfn.IFS(Q847&gt;40%,"Alta",Q847&gt;20%,"Média",Q847&lt;20%,"Baixa")</f>
        <v>Média</v>
      </c>
    </row>
    <row r="848" spans="1:18" x14ac:dyDescent="0.25">
      <c r="A848" s="5">
        <v>14</v>
      </c>
      <c r="B848" s="6">
        <v>45830</v>
      </c>
      <c r="C848" s="8" t="s">
        <v>24</v>
      </c>
      <c r="D848" s="8" t="s">
        <v>42</v>
      </c>
      <c r="E848" s="8" t="s">
        <v>41</v>
      </c>
      <c r="F848" s="5">
        <v>8726</v>
      </c>
      <c r="G848" s="8" t="s">
        <v>26</v>
      </c>
      <c r="H848" s="8" t="s">
        <v>31</v>
      </c>
      <c r="I848" s="5">
        <v>10</v>
      </c>
      <c r="J848" s="10">
        <v>540</v>
      </c>
      <c r="K848" s="10">
        <v>5400</v>
      </c>
      <c r="L848" s="10">
        <v>3161.23</v>
      </c>
      <c r="M848" s="10">
        <v>2238.77</v>
      </c>
      <c r="N848" s="8" t="s">
        <v>21</v>
      </c>
      <c r="O848" s="8" t="s">
        <v>22</v>
      </c>
      <c r="P848" s="8" t="s">
        <v>44</v>
      </c>
      <c r="Q848" s="3">
        <f t="shared" si="14"/>
        <v>0.41458703703703703</v>
      </c>
      <c r="R848" s="8" t="str" cm="1">
        <f t="array" ref="R848">_xlfn.IFS(Q848&gt;40%,"Alta",Q848&gt;20%,"Média",Q848&lt;20%,"Baixa")</f>
        <v>Alta</v>
      </c>
    </row>
    <row r="849" spans="1:18" x14ac:dyDescent="0.25">
      <c r="A849" s="5">
        <v>372</v>
      </c>
      <c r="B849" s="6">
        <v>45785</v>
      </c>
      <c r="C849" s="8" t="s">
        <v>24</v>
      </c>
      <c r="D849" s="8" t="s">
        <v>45</v>
      </c>
      <c r="E849" s="8" t="s">
        <v>25</v>
      </c>
      <c r="F849" s="5">
        <v>9909</v>
      </c>
      <c r="G849" s="8" t="s">
        <v>36</v>
      </c>
      <c r="H849" s="8" t="s">
        <v>20</v>
      </c>
      <c r="I849" s="5">
        <v>18</v>
      </c>
      <c r="J849" s="10">
        <v>300</v>
      </c>
      <c r="K849" s="10">
        <v>5400</v>
      </c>
      <c r="L849" s="10">
        <v>4005.19</v>
      </c>
      <c r="M849" s="10">
        <v>1394.81</v>
      </c>
      <c r="N849" s="8" t="s">
        <v>21</v>
      </c>
      <c r="O849" s="8" t="s">
        <v>39</v>
      </c>
      <c r="P849" s="8" t="s">
        <v>46</v>
      </c>
      <c r="Q849" s="3">
        <f t="shared" si="14"/>
        <v>0.25829814814814817</v>
      </c>
      <c r="R849" s="8" t="str" cm="1">
        <f t="array" ref="R849">_xlfn.IFS(Q849&gt;40%,"Alta",Q849&gt;20%,"Média",Q849&lt;20%,"Baixa")</f>
        <v>Média</v>
      </c>
    </row>
    <row r="850" spans="1:18" x14ac:dyDescent="0.25">
      <c r="A850" s="5">
        <v>743</v>
      </c>
      <c r="B850" s="6">
        <v>45764</v>
      </c>
      <c r="C850" s="8" t="s">
        <v>47</v>
      </c>
      <c r="D850" s="8" t="s">
        <v>30</v>
      </c>
      <c r="E850" s="8" t="s">
        <v>18</v>
      </c>
      <c r="F850" s="5">
        <v>7141</v>
      </c>
      <c r="G850" s="8" t="s">
        <v>36</v>
      </c>
      <c r="H850" s="8" t="s">
        <v>38</v>
      </c>
      <c r="I850" s="5">
        <v>7</v>
      </c>
      <c r="J850" s="10">
        <v>768</v>
      </c>
      <c r="K850" s="10">
        <v>5376</v>
      </c>
      <c r="L850" s="10">
        <v>3285.83</v>
      </c>
      <c r="M850" s="10">
        <v>2090.17</v>
      </c>
      <c r="N850" s="8" t="s">
        <v>28</v>
      </c>
      <c r="O850" s="8" t="s">
        <v>22</v>
      </c>
      <c r="P850" s="8" t="s">
        <v>23</v>
      </c>
      <c r="Q850" s="3">
        <f t="shared" si="14"/>
        <v>0.38879650297619051</v>
      </c>
      <c r="R850" s="8" t="str" cm="1">
        <f t="array" ref="R850">_xlfn.IFS(Q850&gt;40%,"Alta",Q850&gt;20%,"Média",Q850&lt;20%,"Baixa")</f>
        <v>Média</v>
      </c>
    </row>
    <row r="851" spans="1:18" x14ac:dyDescent="0.25">
      <c r="A851" s="5">
        <v>477</v>
      </c>
      <c r="B851" s="6">
        <v>45722</v>
      </c>
      <c r="C851" s="8" t="s">
        <v>16</v>
      </c>
      <c r="D851" s="8" t="s">
        <v>35</v>
      </c>
      <c r="E851" s="8" t="s">
        <v>25</v>
      </c>
      <c r="F851" s="5">
        <v>6013</v>
      </c>
      <c r="G851" s="8" t="s">
        <v>36</v>
      </c>
      <c r="H851" s="8" t="s">
        <v>31</v>
      </c>
      <c r="I851" s="5">
        <v>7</v>
      </c>
      <c r="J851" s="10">
        <v>752</v>
      </c>
      <c r="K851" s="10">
        <v>5264</v>
      </c>
      <c r="L851" s="10">
        <v>3272.69</v>
      </c>
      <c r="M851" s="10">
        <v>1991.31</v>
      </c>
      <c r="N851" s="8" t="s">
        <v>28</v>
      </c>
      <c r="O851" s="8" t="s">
        <v>33</v>
      </c>
      <c r="P851" s="8" t="s">
        <v>44</v>
      </c>
      <c r="Q851" s="3">
        <f t="shared" si="14"/>
        <v>0.37828837386018238</v>
      </c>
      <c r="R851" s="8" t="str" cm="1">
        <f t="array" ref="R851">_xlfn.IFS(Q851&gt;40%,"Alta",Q851&gt;20%,"Média",Q851&lt;20%,"Baixa")</f>
        <v>Média</v>
      </c>
    </row>
    <row r="852" spans="1:18" x14ac:dyDescent="0.25">
      <c r="A852" s="5">
        <v>247</v>
      </c>
      <c r="B852" s="6">
        <v>45690</v>
      </c>
      <c r="C852" s="8" t="s">
        <v>24</v>
      </c>
      <c r="D852" s="8" t="s">
        <v>17</v>
      </c>
      <c r="E852" s="8" t="s">
        <v>18</v>
      </c>
      <c r="F852" s="5">
        <v>2117</v>
      </c>
      <c r="G852" s="8" t="s">
        <v>36</v>
      </c>
      <c r="H852" s="8" t="s">
        <v>43</v>
      </c>
      <c r="I852" s="5">
        <v>4</v>
      </c>
      <c r="J852" s="10">
        <v>1314</v>
      </c>
      <c r="K852" s="10">
        <v>5256</v>
      </c>
      <c r="L852" s="10">
        <v>4154.25</v>
      </c>
      <c r="M852" s="10">
        <v>1101.75</v>
      </c>
      <c r="N852" s="8" t="s">
        <v>28</v>
      </c>
      <c r="O852" s="8" t="s">
        <v>22</v>
      </c>
      <c r="P852" s="8" t="s">
        <v>29</v>
      </c>
      <c r="Q852" s="3">
        <f t="shared" si="14"/>
        <v>0.2096175799086758</v>
      </c>
      <c r="R852" s="8" t="str" cm="1">
        <f t="array" ref="R852">_xlfn.IFS(Q852&gt;40%,"Alta",Q852&gt;20%,"Média",Q852&lt;20%,"Baixa")</f>
        <v>Média</v>
      </c>
    </row>
    <row r="853" spans="1:18" x14ac:dyDescent="0.25">
      <c r="A853" s="5">
        <v>170</v>
      </c>
      <c r="B853" s="6">
        <v>45743</v>
      </c>
      <c r="C853" s="8" t="s">
        <v>47</v>
      </c>
      <c r="D853" s="8" t="s">
        <v>35</v>
      </c>
      <c r="E853" s="8" t="s">
        <v>37</v>
      </c>
      <c r="F853" s="5">
        <v>3305</v>
      </c>
      <c r="G853" s="8" t="s">
        <v>19</v>
      </c>
      <c r="H853" s="8" t="s">
        <v>31</v>
      </c>
      <c r="I853" s="5">
        <v>2</v>
      </c>
      <c r="J853" s="10">
        <v>2614</v>
      </c>
      <c r="K853" s="10">
        <v>5228</v>
      </c>
      <c r="L853" s="10">
        <v>2186.2399999999998</v>
      </c>
      <c r="M853" s="10">
        <v>3041.76</v>
      </c>
      <c r="N853" s="8" t="s">
        <v>21</v>
      </c>
      <c r="O853" s="8" t="s">
        <v>33</v>
      </c>
      <c r="P853" s="8" t="s">
        <v>44</v>
      </c>
      <c r="Q853" s="3">
        <f t="shared" si="14"/>
        <v>0.58182096403978578</v>
      </c>
      <c r="R853" s="8" t="str" cm="1">
        <f t="array" ref="R853">_xlfn.IFS(Q853&gt;40%,"Alta",Q853&gt;20%,"Média",Q853&lt;20%,"Baixa")</f>
        <v>Alta</v>
      </c>
    </row>
    <row r="854" spans="1:18" x14ac:dyDescent="0.25">
      <c r="A854" s="5">
        <v>109</v>
      </c>
      <c r="B854" s="6">
        <v>45789</v>
      </c>
      <c r="C854" s="8" t="s">
        <v>47</v>
      </c>
      <c r="D854" s="8" t="s">
        <v>35</v>
      </c>
      <c r="E854" s="8" t="s">
        <v>41</v>
      </c>
      <c r="F854" s="5">
        <v>1945</v>
      </c>
      <c r="G854" s="8" t="s">
        <v>36</v>
      </c>
      <c r="H854" s="8" t="s">
        <v>43</v>
      </c>
      <c r="I854" s="5">
        <v>2</v>
      </c>
      <c r="J854" s="10">
        <v>2611</v>
      </c>
      <c r="K854" s="10">
        <v>5222</v>
      </c>
      <c r="L854" s="10">
        <v>2154.83</v>
      </c>
      <c r="M854" s="10">
        <v>3067.17</v>
      </c>
      <c r="N854" s="8" t="s">
        <v>28</v>
      </c>
      <c r="O854" s="8" t="s">
        <v>22</v>
      </c>
      <c r="P854" s="8" t="s">
        <v>40</v>
      </c>
      <c r="Q854" s="3">
        <f t="shared" si="14"/>
        <v>0.58735541937954805</v>
      </c>
      <c r="R854" s="8" t="str" cm="1">
        <f t="array" ref="R854">_xlfn.IFS(Q854&gt;40%,"Alta",Q854&gt;20%,"Média",Q854&lt;20%,"Baixa")</f>
        <v>Alta</v>
      </c>
    </row>
    <row r="855" spans="1:18" x14ac:dyDescent="0.25">
      <c r="A855" s="5">
        <v>629</v>
      </c>
      <c r="B855" s="6">
        <v>45719</v>
      </c>
      <c r="C855" s="8" t="s">
        <v>47</v>
      </c>
      <c r="D855" s="8" t="s">
        <v>30</v>
      </c>
      <c r="E855" s="8" t="s">
        <v>25</v>
      </c>
      <c r="F855" s="5">
        <v>6084</v>
      </c>
      <c r="G855" s="8" t="s">
        <v>26</v>
      </c>
      <c r="H855" s="8" t="s">
        <v>38</v>
      </c>
      <c r="I855" s="5">
        <v>18</v>
      </c>
      <c r="J855" s="10">
        <v>289</v>
      </c>
      <c r="K855" s="10">
        <v>5202</v>
      </c>
      <c r="L855" s="10">
        <v>2731.34</v>
      </c>
      <c r="M855" s="10">
        <v>2470.66</v>
      </c>
      <c r="N855" s="8" t="s">
        <v>21</v>
      </c>
      <c r="O855" s="8" t="s">
        <v>22</v>
      </c>
      <c r="P855" s="8" t="s">
        <v>23</v>
      </c>
      <c r="Q855" s="3">
        <f t="shared" si="14"/>
        <v>0.47494425221068814</v>
      </c>
      <c r="R855" s="8" t="str" cm="1">
        <f t="array" ref="R855">_xlfn.IFS(Q855&gt;40%,"Alta",Q855&gt;20%,"Média",Q855&lt;20%,"Baixa")</f>
        <v>Alta</v>
      </c>
    </row>
    <row r="856" spans="1:18" x14ac:dyDescent="0.25">
      <c r="A856" s="5">
        <v>807</v>
      </c>
      <c r="B856" s="6">
        <v>45683</v>
      </c>
      <c r="C856" s="8" t="s">
        <v>16</v>
      </c>
      <c r="D856" s="8" t="s">
        <v>17</v>
      </c>
      <c r="E856" s="8" t="s">
        <v>25</v>
      </c>
      <c r="F856" s="5">
        <v>4827</v>
      </c>
      <c r="G856" s="8" t="s">
        <v>19</v>
      </c>
      <c r="H856" s="8" t="s">
        <v>43</v>
      </c>
      <c r="I856" s="5">
        <v>5</v>
      </c>
      <c r="J856" s="10">
        <v>1028</v>
      </c>
      <c r="K856" s="10">
        <v>5140</v>
      </c>
      <c r="L856" s="10">
        <v>2706.29</v>
      </c>
      <c r="M856" s="10">
        <v>2433.71</v>
      </c>
      <c r="N856" s="8" t="s">
        <v>28</v>
      </c>
      <c r="O856" s="8" t="s">
        <v>22</v>
      </c>
      <c r="P856" s="8" t="s">
        <v>29</v>
      </c>
      <c r="Q856" s="3">
        <f t="shared" si="14"/>
        <v>0.47348443579766536</v>
      </c>
      <c r="R856" s="8" t="str" cm="1">
        <f t="array" ref="R856">_xlfn.IFS(Q856&gt;40%,"Alta",Q856&gt;20%,"Média",Q856&lt;20%,"Baixa")</f>
        <v>Alta</v>
      </c>
    </row>
    <row r="857" spans="1:18" x14ac:dyDescent="0.25">
      <c r="A857" s="5">
        <v>881</v>
      </c>
      <c r="B857" s="6">
        <v>45808</v>
      </c>
      <c r="C857" s="8" t="s">
        <v>24</v>
      </c>
      <c r="D857" s="8" t="s">
        <v>35</v>
      </c>
      <c r="E857" s="8" t="s">
        <v>37</v>
      </c>
      <c r="F857" s="5">
        <v>7693</v>
      </c>
      <c r="G857" s="8" t="s">
        <v>36</v>
      </c>
      <c r="H857" s="8" t="s">
        <v>38</v>
      </c>
      <c r="I857" s="5">
        <v>6</v>
      </c>
      <c r="J857" s="10">
        <v>841</v>
      </c>
      <c r="K857" s="10">
        <v>5046</v>
      </c>
      <c r="L857" s="10">
        <v>3778.05</v>
      </c>
      <c r="M857" s="10">
        <v>1267.95</v>
      </c>
      <c r="N857" s="8" t="s">
        <v>21</v>
      </c>
      <c r="O857" s="8" t="s">
        <v>33</v>
      </c>
      <c r="P857" s="8" t="s">
        <v>40</v>
      </c>
      <c r="Q857" s="3">
        <f t="shared" si="14"/>
        <v>0.25127824019024969</v>
      </c>
      <c r="R857" s="8" t="str" cm="1">
        <f t="array" ref="R857">_xlfn.IFS(Q857&gt;40%,"Alta",Q857&gt;20%,"Média",Q857&lt;20%,"Baixa")</f>
        <v>Média</v>
      </c>
    </row>
    <row r="858" spans="1:18" x14ac:dyDescent="0.25">
      <c r="A858" s="5">
        <v>355</v>
      </c>
      <c r="B858" s="6">
        <v>45801</v>
      </c>
      <c r="C858" s="8" t="s">
        <v>24</v>
      </c>
      <c r="D858" s="8" t="s">
        <v>45</v>
      </c>
      <c r="E858" s="8" t="s">
        <v>37</v>
      </c>
      <c r="F858" s="5">
        <v>9547</v>
      </c>
      <c r="G858" s="8" t="s">
        <v>26</v>
      </c>
      <c r="H858" s="8" t="s">
        <v>31</v>
      </c>
      <c r="I858" s="5">
        <v>9</v>
      </c>
      <c r="J858" s="10">
        <v>554</v>
      </c>
      <c r="K858" s="10">
        <v>4986</v>
      </c>
      <c r="L858" s="10">
        <v>3500.45</v>
      </c>
      <c r="M858" s="10">
        <v>1485.55</v>
      </c>
      <c r="N858" s="8" t="s">
        <v>28</v>
      </c>
      <c r="O858" s="8" t="s">
        <v>33</v>
      </c>
      <c r="P858" s="8" t="s">
        <v>44</v>
      </c>
      <c r="Q858" s="3">
        <f t="shared" si="14"/>
        <v>0.29794424388287205</v>
      </c>
      <c r="R858" s="8" t="str" cm="1">
        <f t="array" ref="R858">_xlfn.IFS(Q858&gt;40%,"Alta",Q858&gt;20%,"Média",Q858&lt;20%,"Baixa")</f>
        <v>Média</v>
      </c>
    </row>
    <row r="859" spans="1:18" x14ac:dyDescent="0.25">
      <c r="A859" s="5">
        <v>205</v>
      </c>
      <c r="B859" s="6">
        <v>45694</v>
      </c>
      <c r="C859" s="8" t="s">
        <v>47</v>
      </c>
      <c r="D859" s="8" t="s">
        <v>35</v>
      </c>
      <c r="E859" s="8" t="s">
        <v>25</v>
      </c>
      <c r="F859" s="5">
        <v>1803</v>
      </c>
      <c r="G859" s="8" t="s">
        <v>19</v>
      </c>
      <c r="H859" s="8" t="s">
        <v>27</v>
      </c>
      <c r="I859" s="5">
        <v>3</v>
      </c>
      <c r="J859" s="10">
        <v>1653</v>
      </c>
      <c r="K859" s="10">
        <v>4959</v>
      </c>
      <c r="L859" s="10">
        <v>3509.71</v>
      </c>
      <c r="M859" s="10">
        <v>1449.29</v>
      </c>
      <c r="N859" s="8" t="s">
        <v>21</v>
      </c>
      <c r="O859" s="8" t="s">
        <v>39</v>
      </c>
      <c r="P859" s="8" t="s">
        <v>29</v>
      </c>
      <c r="Q859" s="3">
        <f t="shared" si="14"/>
        <v>0.29225448679169186</v>
      </c>
      <c r="R859" s="8" t="str" cm="1">
        <f t="array" ref="R859">_xlfn.IFS(Q859&gt;40%,"Alta",Q859&gt;20%,"Média",Q859&lt;20%,"Baixa")</f>
        <v>Média</v>
      </c>
    </row>
    <row r="860" spans="1:18" x14ac:dyDescent="0.25">
      <c r="A860" s="5">
        <v>648</v>
      </c>
      <c r="B860" s="6">
        <v>45743</v>
      </c>
      <c r="C860" s="8" t="s">
        <v>16</v>
      </c>
      <c r="D860" s="8" t="s">
        <v>35</v>
      </c>
      <c r="E860" s="8" t="s">
        <v>25</v>
      </c>
      <c r="F860" s="5">
        <v>1099</v>
      </c>
      <c r="G860" s="8" t="s">
        <v>26</v>
      </c>
      <c r="H860" s="8" t="s">
        <v>31</v>
      </c>
      <c r="I860" s="5">
        <v>2</v>
      </c>
      <c r="J860" s="10">
        <v>2473</v>
      </c>
      <c r="K860" s="10">
        <v>4946</v>
      </c>
      <c r="L860" s="10">
        <v>2444.87</v>
      </c>
      <c r="M860" s="10">
        <v>2501.13</v>
      </c>
      <c r="N860" s="8" t="s">
        <v>32</v>
      </c>
      <c r="O860" s="8" t="s">
        <v>22</v>
      </c>
      <c r="P860" s="8" t="s">
        <v>29</v>
      </c>
      <c r="Q860" s="3">
        <f t="shared" si="14"/>
        <v>0.50568742418115653</v>
      </c>
      <c r="R860" s="8" t="str" cm="1">
        <f t="array" ref="R860">_xlfn.IFS(Q860&gt;40%,"Alta",Q860&gt;20%,"Média",Q860&lt;20%,"Baixa")</f>
        <v>Alta</v>
      </c>
    </row>
    <row r="861" spans="1:18" x14ac:dyDescent="0.25">
      <c r="A861" s="5">
        <v>643</v>
      </c>
      <c r="B861" s="6">
        <v>45833</v>
      </c>
      <c r="C861" s="8" t="s">
        <v>47</v>
      </c>
      <c r="D861" s="8" t="s">
        <v>42</v>
      </c>
      <c r="E861" s="8" t="s">
        <v>37</v>
      </c>
      <c r="F861" s="5">
        <v>7430</v>
      </c>
      <c r="G861" s="8" t="s">
        <v>19</v>
      </c>
      <c r="H861" s="8" t="s">
        <v>43</v>
      </c>
      <c r="I861" s="5">
        <v>1</v>
      </c>
      <c r="J861" s="10">
        <v>4825</v>
      </c>
      <c r="K861" s="10">
        <v>4825</v>
      </c>
      <c r="L861" s="10">
        <v>3309.87</v>
      </c>
      <c r="M861" s="10">
        <v>1515.13</v>
      </c>
      <c r="N861" s="8" t="s">
        <v>21</v>
      </c>
      <c r="O861" s="8" t="s">
        <v>33</v>
      </c>
      <c r="P861" s="8" t="s">
        <v>46</v>
      </c>
      <c r="Q861" s="3">
        <f t="shared" si="14"/>
        <v>0.31401658031088087</v>
      </c>
      <c r="R861" s="8" t="str" cm="1">
        <f t="array" ref="R861">_xlfn.IFS(Q861&gt;40%,"Alta",Q861&gt;20%,"Média",Q861&lt;20%,"Baixa")</f>
        <v>Média</v>
      </c>
    </row>
    <row r="862" spans="1:18" x14ac:dyDescent="0.25">
      <c r="A862" s="5">
        <v>177</v>
      </c>
      <c r="B862" s="6">
        <v>45728</v>
      </c>
      <c r="C862" s="8" t="s">
        <v>16</v>
      </c>
      <c r="D862" s="8" t="s">
        <v>30</v>
      </c>
      <c r="E862" s="8" t="s">
        <v>25</v>
      </c>
      <c r="F862" s="5">
        <v>8823</v>
      </c>
      <c r="G862" s="8" t="s">
        <v>26</v>
      </c>
      <c r="H862" s="8" t="s">
        <v>27</v>
      </c>
      <c r="I862" s="5">
        <v>13</v>
      </c>
      <c r="J862" s="10">
        <v>371</v>
      </c>
      <c r="K862" s="10">
        <v>4823</v>
      </c>
      <c r="L862" s="10">
        <v>2609.66</v>
      </c>
      <c r="M862" s="10">
        <v>2213.34</v>
      </c>
      <c r="N862" s="8" t="s">
        <v>21</v>
      </c>
      <c r="O862" s="8" t="s">
        <v>22</v>
      </c>
      <c r="P862" s="8" t="s">
        <v>23</v>
      </c>
      <c r="Q862" s="3">
        <f t="shared" si="14"/>
        <v>0.45891353929089779</v>
      </c>
      <c r="R862" s="8" t="str" cm="1">
        <f t="array" ref="R862">_xlfn.IFS(Q862&gt;40%,"Alta",Q862&gt;20%,"Média",Q862&lt;20%,"Baixa")</f>
        <v>Alta</v>
      </c>
    </row>
    <row r="863" spans="1:18" x14ac:dyDescent="0.25">
      <c r="A863" s="5">
        <v>318</v>
      </c>
      <c r="B863" s="6">
        <v>45742</v>
      </c>
      <c r="C863" s="8" t="s">
        <v>24</v>
      </c>
      <c r="D863" s="8" t="s">
        <v>42</v>
      </c>
      <c r="E863" s="8" t="s">
        <v>41</v>
      </c>
      <c r="F863" s="5">
        <v>4447</v>
      </c>
      <c r="G863" s="8" t="s">
        <v>19</v>
      </c>
      <c r="H863" s="8" t="s">
        <v>27</v>
      </c>
      <c r="I863" s="5">
        <v>1</v>
      </c>
      <c r="J863" s="10">
        <v>4792</v>
      </c>
      <c r="K863" s="10">
        <v>4792</v>
      </c>
      <c r="L863" s="10">
        <v>3322.39</v>
      </c>
      <c r="M863" s="10">
        <v>1469.61</v>
      </c>
      <c r="N863" s="8" t="s">
        <v>21</v>
      </c>
      <c r="O863" s="8" t="s">
        <v>22</v>
      </c>
      <c r="P863" s="8" t="s">
        <v>44</v>
      </c>
      <c r="Q863" s="3">
        <f t="shared" si="14"/>
        <v>0.30667988313856426</v>
      </c>
      <c r="R863" s="8" t="str" cm="1">
        <f t="array" ref="R863">_xlfn.IFS(Q863&gt;40%,"Alta",Q863&gt;20%,"Média",Q863&lt;20%,"Baixa")</f>
        <v>Média</v>
      </c>
    </row>
    <row r="864" spans="1:18" x14ac:dyDescent="0.25">
      <c r="A864" s="5">
        <v>686</v>
      </c>
      <c r="B864" s="6">
        <v>45821</v>
      </c>
      <c r="C864" s="8" t="s">
        <v>16</v>
      </c>
      <c r="D864" s="8" t="s">
        <v>42</v>
      </c>
      <c r="E864" s="8" t="s">
        <v>18</v>
      </c>
      <c r="F864" s="5">
        <v>1706</v>
      </c>
      <c r="G864" s="8" t="s">
        <v>36</v>
      </c>
      <c r="H864" s="8" t="s">
        <v>38</v>
      </c>
      <c r="I864" s="5">
        <v>1</v>
      </c>
      <c r="J864" s="10">
        <v>4785</v>
      </c>
      <c r="K864" s="10">
        <v>4785</v>
      </c>
      <c r="L864" s="10">
        <v>2036.83</v>
      </c>
      <c r="M864" s="10">
        <v>2748.17</v>
      </c>
      <c r="N864" s="8" t="s">
        <v>28</v>
      </c>
      <c r="O864" s="8" t="s">
        <v>39</v>
      </c>
      <c r="P864" s="8" t="s">
        <v>40</v>
      </c>
      <c r="Q864" s="3">
        <f t="shared" si="14"/>
        <v>0.5743301985370951</v>
      </c>
      <c r="R864" s="8" t="str" cm="1">
        <f t="array" ref="R864">_xlfn.IFS(Q864&gt;40%,"Alta",Q864&gt;20%,"Média",Q864&lt;20%,"Baixa")</f>
        <v>Alta</v>
      </c>
    </row>
    <row r="865" spans="1:18" x14ac:dyDescent="0.25">
      <c r="A865" s="5">
        <v>491</v>
      </c>
      <c r="B865" s="6">
        <v>45681</v>
      </c>
      <c r="C865" s="8" t="s">
        <v>34</v>
      </c>
      <c r="D865" s="8" t="s">
        <v>30</v>
      </c>
      <c r="E865" s="8" t="s">
        <v>18</v>
      </c>
      <c r="F865" s="5">
        <v>1919</v>
      </c>
      <c r="G865" s="8" t="s">
        <v>26</v>
      </c>
      <c r="H865" s="8" t="s">
        <v>31</v>
      </c>
      <c r="I865" s="5">
        <v>2</v>
      </c>
      <c r="J865" s="10">
        <v>2365</v>
      </c>
      <c r="K865" s="10">
        <v>4730</v>
      </c>
      <c r="L865" s="10">
        <v>1968.62</v>
      </c>
      <c r="M865" s="10">
        <v>2761.38</v>
      </c>
      <c r="N865" s="8" t="s">
        <v>28</v>
      </c>
      <c r="O865" s="8" t="s">
        <v>39</v>
      </c>
      <c r="P865" s="8" t="s">
        <v>40</v>
      </c>
      <c r="Q865" s="3">
        <f t="shared" si="14"/>
        <v>0.58380126849894298</v>
      </c>
      <c r="R865" s="8" t="str" cm="1">
        <f t="array" ref="R865">_xlfn.IFS(Q865&gt;40%,"Alta",Q865&gt;20%,"Média",Q865&lt;20%,"Baixa")</f>
        <v>Alta</v>
      </c>
    </row>
    <row r="866" spans="1:18" x14ac:dyDescent="0.25">
      <c r="A866" s="5">
        <v>451</v>
      </c>
      <c r="B866" s="6">
        <v>45720</v>
      </c>
      <c r="C866" s="8" t="s">
        <v>24</v>
      </c>
      <c r="D866" s="8" t="s">
        <v>45</v>
      </c>
      <c r="E866" s="8" t="s">
        <v>37</v>
      </c>
      <c r="F866" s="5">
        <v>5734</v>
      </c>
      <c r="G866" s="8" t="s">
        <v>36</v>
      </c>
      <c r="H866" s="8" t="s">
        <v>43</v>
      </c>
      <c r="I866" s="5">
        <v>1</v>
      </c>
      <c r="J866" s="10">
        <v>4670</v>
      </c>
      <c r="K866" s="10">
        <v>4670</v>
      </c>
      <c r="L866" s="10">
        <v>3541.23</v>
      </c>
      <c r="M866" s="10">
        <v>1128.77</v>
      </c>
      <c r="N866" s="8" t="s">
        <v>21</v>
      </c>
      <c r="O866" s="8" t="s">
        <v>39</v>
      </c>
      <c r="P866" s="8" t="s">
        <v>29</v>
      </c>
      <c r="Q866" s="3">
        <f t="shared" si="14"/>
        <v>0.2417066381156317</v>
      </c>
      <c r="R866" s="8" t="str" cm="1">
        <f t="array" ref="R866">_xlfn.IFS(Q866&gt;40%,"Alta",Q866&gt;20%,"Média",Q866&lt;20%,"Baixa")</f>
        <v>Média</v>
      </c>
    </row>
    <row r="867" spans="1:18" x14ac:dyDescent="0.25">
      <c r="A867" s="5">
        <v>293</v>
      </c>
      <c r="B867" s="6">
        <v>45822</v>
      </c>
      <c r="C867" s="8" t="s">
        <v>34</v>
      </c>
      <c r="D867" s="8" t="s">
        <v>45</v>
      </c>
      <c r="E867" s="8" t="s">
        <v>37</v>
      </c>
      <c r="F867" s="5">
        <v>4478</v>
      </c>
      <c r="G867" s="8" t="s">
        <v>26</v>
      </c>
      <c r="H867" s="8" t="s">
        <v>20</v>
      </c>
      <c r="I867" s="5">
        <v>12</v>
      </c>
      <c r="J867" s="10">
        <v>389</v>
      </c>
      <c r="K867" s="10">
        <v>4668</v>
      </c>
      <c r="L867" s="10">
        <v>2209.4699999999998</v>
      </c>
      <c r="M867" s="10">
        <v>2458.5300000000002</v>
      </c>
      <c r="N867" s="8" t="s">
        <v>32</v>
      </c>
      <c r="O867" s="8" t="s">
        <v>22</v>
      </c>
      <c r="P867" s="8" t="s">
        <v>23</v>
      </c>
      <c r="Q867" s="3">
        <f t="shared" si="14"/>
        <v>0.52667737789203084</v>
      </c>
      <c r="R867" s="8" t="str" cm="1">
        <f t="array" ref="R867">_xlfn.IFS(Q867&gt;40%,"Alta",Q867&gt;20%,"Média",Q867&lt;20%,"Baixa")</f>
        <v>Alta</v>
      </c>
    </row>
    <row r="868" spans="1:18" x14ac:dyDescent="0.25">
      <c r="A868" s="5">
        <v>506</v>
      </c>
      <c r="B868" s="6">
        <v>45806</v>
      </c>
      <c r="C868" s="8" t="s">
        <v>34</v>
      </c>
      <c r="D868" s="8" t="s">
        <v>30</v>
      </c>
      <c r="E868" s="8" t="s">
        <v>41</v>
      </c>
      <c r="F868" s="5">
        <v>2858</v>
      </c>
      <c r="G868" s="8" t="s">
        <v>26</v>
      </c>
      <c r="H868" s="8" t="s">
        <v>20</v>
      </c>
      <c r="I868" s="5">
        <v>1</v>
      </c>
      <c r="J868" s="10">
        <v>4642</v>
      </c>
      <c r="K868" s="10">
        <v>4642</v>
      </c>
      <c r="L868" s="10">
        <v>2224.16</v>
      </c>
      <c r="M868" s="10">
        <v>2417.84</v>
      </c>
      <c r="N868" s="8" t="s">
        <v>32</v>
      </c>
      <c r="O868" s="8" t="s">
        <v>22</v>
      </c>
      <c r="P868" s="8" t="s">
        <v>23</v>
      </c>
      <c r="Q868" s="3">
        <f t="shared" si="14"/>
        <v>0.52086169754416201</v>
      </c>
      <c r="R868" s="8" t="str" cm="1">
        <f t="array" ref="R868">_xlfn.IFS(Q868&gt;40%,"Alta",Q868&gt;20%,"Média",Q868&lt;20%,"Baixa")</f>
        <v>Alta</v>
      </c>
    </row>
    <row r="869" spans="1:18" x14ac:dyDescent="0.25">
      <c r="A869" s="5">
        <v>607</v>
      </c>
      <c r="B869" s="6">
        <v>45790</v>
      </c>
      <c r="C869" s="8" t="s">
        <v>16</v>
      </c>
      <c r="D869" s="8" t="s">
        <v>30</v>
      </c>
      <c r="E869" s="8" t="s">
        <v>41</v>
      </c>
      <c r="F869" s="5">
        <v>8840</v>
      </c>
      <c r="G869" s="8" t="s">
        <v>26</v>
      </c>
      <c r="H869" s="8" t="s">
        <v>38</v>
      </c>
      <c r="I869" s="5">
        <v>2</v>
      </c>
      <c r="J869" s="10">
        <v>2306</v>
      </c>
      <c r="K869" s="10">
        <v>4612</v>
      </c>
      <c r="L869" s="10">
        <v>3148.37</v>
      </c>
      <c r="M869" s="10">
        <v>1463.63</v>
      </c>
      <c r="N869" s="8" t="s">
        <v>28</v>
      </c>
      <c r="O869" s="8" t="s">
        <v>33</v>
      </c>
      <c r="P869" s="8" t="s">
        <v>29</v>
      </c>
      <c r="Q869" s="3">
        <f t="shared" si="14"/>
        <v>0.31735255854293148</v>
      </c>
      <c r="R869" s="8" t="str" cm="1">
        <f t="array" ref="R869">_xlfn.IFS(Q869&gt;40%,"Alta",Q869&gt;20%,"Média",Q869&lt;20%,"Baixa")</f>
        <v>Média</v>
      </c>
    </row>
    <row r="870" spans="1:18" x14ac:dyDescent="0.25">
      <c r="A870" s="5">
        <v>567</v>
      </c>
      <c r="B870" s="6">
        <v>45823</v>
      </c>
      <c r="C870" s="8" t="s">
        <v>24</v>
      </c>
      <c r="D870" s="8" t="s">
        <v>45</v>
      </c>
      <c r="E870" s="8" t="s">
        <v>41</v>
      </c>
      <c r="F870" s="5">
        <v>6272</v>
      </c>
      <c r="G870" s="8" t="s">
        <v>36</v>
      </c>
      <c r="H870" s="8" t="s">
        <v>38</v>
      </c>
      <c r="I870" s="5">
        <v>3</v>
      </c>
      <c r="J870" s="10">
        <v>1534</v>
      </c>
      <c r="K870" s="10">
        <v>4602</v>
      </c>
      <c r="L870" s="10">
        <v>3586.44</v>
      </c>
      <c r="M870" s="10">
        <v>1015.56</v>
      </c>
      <c r="N870" s="8" t="s">
        <v>32</v>
      </c>
      <c r="O870" s="8" t="s">
        <v>39</v>
      </c>
      <c r="P870" s="8" t="s">
        <v>46</v>
      </c>
      <c r="Q870" s="3">
        <f t="shared" si="14"/>
        <v>0.22067796610169491</v>
      </c>
      <c r="R870" s="8" t="str" cm="1">
        <f t="array" ref="R870">_xlfn.IFS(Q870&gt;40%,"Alta",Q870&gt;20%,"Média",Q870&lt;20%,"Baixa")</f>
        <v>Média</v>
      </c>
    </row>
    <row r="871" spans="1:18" x14ac:dyDescent="0.25">
      <c r="A871" s="5">
        <v>339</v>
      </c>
      <c r="B871" s="6">
        <v>45812</v>
      </c>
      <c r="C871" s="8" t="s">
        <v>34</v>
      </c>
      <c r="D871" s="8" t="s">
        <v>45</v>
      </c>
      <c r="E871" s="8" t="s">
        <v>18</v>
      </c>
      <c r="F871" s="5">
        <v>1752</v>
      </c>
      <c r="G871" s="8" t="s">
        <v>19</v>
      </c>
      <c r="H871" s="8" t="s">
        <v>27</v>
      </c>
      <c r="I871" s="5">
        <v>9</v>
      </c>
      <c r="J871" s="10">
        <v>510</v>
      </c>
      <c r="K871" s="10">
        <v>4590</v>
      </c>
      <c r="L871" s="10">
        <v>2096.56</v>
      </c>
      <c r="M871" s="10">
        <v>2493.44</v>
      </c>
      <c r="N871" s="8" t="s">
        <v>28</v>
      </c>
      <c r="O871" s="8" t="s">
        <v>39</v>
      </c>
      <c r="P871" s="8" t="s">
        <v>46</v>
      </c>
      <c r="Q871" s="3">
        <f t="shared" si="14"/>
        <v>0.54323311546840958</v>
      </c>
      <c r="R871" s="8" t="str" cm="1">
        <f t="array" ref="R871">_xlfn.IFS(Q871&gt;40%,"Alta",Q871&gt;20%,"Média",Q871&lt;20%,"Baixa")</f>
        <v>Alta</v>
      </c>
    </row>
    <row r="872" spans="1:18" x14ac:dyDescent="0.25">
      <c r="A872" s="5">
        <v>587</v>
      </c>
      <c r="B872" s="6">
        <v>45788</v>
      </c>
      <c r="C872" s="8" t="s">
        <v>24</v>
      </c>
      <c r="D872" s="8" t="s">
        <v>45</v>
      </c>
      <c r="E872" s="8" t="s">
        <v>41</v>
      </c>
      <c r="F872" s="5">
        <v>1285</v>
      </c>
      <c r="G872" s="8" t="s">
        <v>19</v>
      </c>
      <c r="H872" s="8" t="s">
        <v>31</v>
      </c>
      <c r="I872" s="5">
        <v>2</v>
      </c>
      <c r="J872" s="10">
        <v>2283</v>
      </c>
      <c r="K872" s="10">
        <v>4566</v>
      </c>
      <c r="L872" s="10">
        <v>1870.65</v>
      </c>
      <c r="M872" s="10">
        <v>2695.35</v>
      </c>
      <c r="N872" s="8" t="s">
        <v>21</v>
      </c>
      <c r="O872" s="8" t="s">
        <v>33</v>
      </c>
      <c r="P872" s="8" t="s">
        <v>23</v>
      </c>
      <c r="Q872" s="3">
        <f t="shared" si="14"/>
        <v>0.59030880420499343</v>
      </c>
      <c r="R872" s="8" t="str" cm="1">
        <f t="array" ref="R872">_xlfn.IFS(Q872&gt;40%,"Alta",Q872&gt;20%,"Média",Q872&lt;20%,"Baixa")</f>
        <v>Alta</v>
      </c>
    </row>
    <row r="873" spans="1:18" x14ac:dyDescent="0.25">
      <c r="A873" s="5">
        <v>850</v>
      </c>
      <c r="B873" s="6">
        <v>45825</v>
      </c>
      <c r="C873" s="8" t="s">
        <v>16</v>
      </c>
      <c r="D873" s="8" t="s">
        <v>45</v>
      </c>
      <c r="E873" s="8" t="s">
        <v>41</v>
      </c>
      <c r="F873" s="5">
        <v>4755</v>
      </c>
      <c r="G873" s="8" t="s">
        <v>26</v>
      </c>
      <c r="H873" s="8" t="s">
        <v>31</v>
      </c>
      <c r="I873" s="5">
        <v>7</v>
      </c>
      <c r="J873" s="10">
        <v>650</v>
      </c>
      <c r="K873" s="10">
        <v>4550</v>
      </c>
      <c r="L873" s="10">
        <v>3249.18</v>
      </c>
      <c r="M873" s="10">
        <v>1300.82</v>
      </c>
      <c r="N873" s="8" t="s">
        <v>21</v>
      </c>
      <c r="O873" s="8" t="s">
        <v>22</v>
      </c>
      <c r="P873" s="8" t="s">
        <v>40</v>
      </c>
      <c r="Q873" s="3">
        <f t="shared" si="14"/>
        <v>0.28589450549450546</v>
      </c>
      <c r="R873" s="8" t="str" cm="1">
        <f t="array" ref="R873">_xlfn.IFS(Q873&gt;40%,"Alta",Q873&gt;20%,"Média",Q873&lt;20%,"Baixa")</f>
        <v>Média</v>
      </c>
    </row>
    <row r="874" spans="1:18" x14ac:dyDescent="0.25">
      <c r="A874" s="5">
        <v>920</v>
      </c>
      <c r="B874" s="6">
        <v>45664</v>
      </c>
      <c r="C874" s="8" t="s">
        <v>47</v>
      </c>
      <c r="D874" s="8" t="s">
        <v>35</v>
      </c>
      <c r="E874" s="8" t="s">
        <v>37</v>
      </c>
      <c r="F874" s="5">
        <v>8752</v>
      </c>
      <c r="G874" s="8" t="s">
        <v>26</v>
      </c>
      <c r="H874" s="8" t="s">
        <v>27</v>
      </c>
      <c r="I874" s="5">
        <v>16</v>
      </c>
      <c r="J874" s="10">
        <v>281</v>
      </c>
      <c r="K874" s="10">
        <v>4496</v>
      </c>
      <c r="L874" s="10">
        <v>2132.92</v>
      </c>
      <c r="M874" s="10">
        <v>2363.08</v>
      </c>
      <c r="N874" s="8" t="s">
        <v>28</v>
      </c>
      <c r="O874" s="8" t="s">
        <v>22</v>
      </c>
      <c r="P874" s="8" t="s">
        <v>44</v>
      </c>
      <c r="Q874" s="3">
        <f t="shared" si="14"/>
        <v>0.52559608540925262</v>
      </c>
      <c r="R874" s="8" t="str" cm="1">
        <f t="array" ref="R874">_xlfn.IFS(Q874&gt;40%,"Alta",Q874&gt;20%,"Média",Q874&lt;20%,"Baixa")</f>
        <v>Alta</v>
      </c>
    </row>
    <row r="875" spans="1:18" x14ac:dyDescent="0.25">
      <c r="A875" s="5">
        <v>110</v>
      </c>
      <c r="B875" s="6">
        <v>45799</v>
      </c>
      <c r="C875" s="8" t="s">
        <v>24</v>
      </c>
      <c r="D875" s="8" t="s">
        <v>30</v>
      </c>
      <c r="E875" s="8" t="s">
        <v>18</v>
      </c>
      <c r="F875" s="5">
        <v>6966</v>
      </c>
      <c r="G875" s="8" t="s">
        <v>26</v>
      </c>
      <c r="H875" s="8" t="s">
        <v>43</v>
      </c>
      <c r="I875" s="5">
        <v>18</v>
      </c>
      <c r="J875" s="10">
        <v>249</v>
      </c>
      <c r="K875" s="10">
        <v>4482</v>
      </c>
      <c r="L875" s="10">
        <v>3522.3</v>
      </c>
      <c r="M875" s="10">
        <v>959.7</v>
      </c>
      <c r="N875" s="8" t="s">
        <v>21</v>
      </c>
      <c r="O875" s="8" t="s">
        <v>33</v>
      </c>
      <c r="P875" s="8" t="s">
        <v>23</v>
      </c>
      <c r="Q875" s="3">
        <f t="shared" si="14"/>
        <v>0.2141231593038822</v>
      </c>
      <c r="R875" s="8" t="str" cm="1">
        <f t="array" ref="R875">_xlfn.IFS(Q875&gt;40%,"Alta",Q875&gt;20%,"Média",Q875&lt;20%,"Baixa")</f>
        <v>Média</v>
      </c>
    </row>
    <row r="876" spans="1:18" x14ac:dyDescent="0.25">
      <c r="A876" s="5">
        <v>749</v>
      </c>
      <c r="B876" s="6">
        <v>45693</v>
      </c>
      <c r="C876" s="8" t="s">
        <v>47</v>
      </c>
      <c r="D876" s="8" t="s">
        <v>30</v>
      </c>
      <c r="E876" s="8" t="s">
        <v>41</v>
      </c>
      <c r="F876" s="5">
        <v>1155</v>
      </c>
      <c r="G876" s="8" t="s">
        <v>19</v>
      </c>
      <c r="H876" s="8" t="s">
        <v>31</v>
      </c>
      <c r="I876" s="5">
        <v>3</v>
      </c>
      <c r="J876" s="10">
        <v>1488</v>
      </c>
      <c r="K876" s="10">
        <v>4464</v>
      </c>
      <c r="L876" s="10">
        <v>3435.53</v>
      </c>
      <c r="M876" s="10">
        <v>1028.47</v>
      </c>
      <c r="N876" s="8" t="s">
        <v>21</v>
      </c>
      <c r="O876" s="8" t="s">
        <v>33</v>
      </c>
      <c r="P876" s="8" t="s">
        <v>29</v>
      </c>
      <c r="Q876" s="3">
        <f t="shared" si="14"/>
        <v>0.23039202508960574</v>
      </c>
      <c r="R876" s="8" t="str" cm="1">
        <f t="array" ref="R876">_xlfn.IFS(Q876&gt;40%,"Alta",Q876&gt;20%,"Média",Q876&lt;20%,"Baixa")</f>
        <v>Média</v>
      </c>
    </row>
    <row r="877" spans="1:18" x14ac:dyDescent="0.25">
      <c r="A877" s="5">
        <v>691</v>
      </c>
      <c r="B877" s="6">
        <v>45755</v>
      </c>
      <c r="C877" s="8" t="s">
        <v>24</v>
      </c>
      <c r="D877" s="8" t="s">
        <v>30</v>
      </c>
      <c r="E877" s="8" t="s">
        <v>18</v>
      </c>
      <c r="F877" s="5">
        <v>8706</v>
      </c>
      <c r="G877" s="8" t="s">
        <v>19</v>
      </c>
      <c r="H877" s="8" t="s">
        <v>43</v>
      </c>
      <c r="I877" s="5">
        <v>1</v>
      </c>
      <c r="J877" s="10">
        <v>4462</v>
      </c>
      <c r="K877" s="10">
        <v>4462</v>
      </c>
      <c r="L877" s="10">
        <v>2893.64</v>
      </c>
      <c r="M877" s="10">
        <v>1568.36</v>
      </c>
      <c r="N877" s="8" t="s">
        <v>32</v>
      </c>
      <c r="O877" s="8" t="s">
        <v>39</v>
      </c>
      <c r="P877" s="8" t="s">
        <v>44</v>
      </c>
      <c r="Q877" s="3">
        <f t="shared" si="14"/>
        <v>0.35149260421335721</v>
      </c>
      <c r="R877" s="8" t="str" cm="1">
        <f t="array" ref="R877">_xlfn.IFS(Q877&gt;40%,"Alta",Q877&gt;20%,"Média",Q877&lt;20%,"Baixa")</f>
        <v>Média</v>
      </c>
    </row>
    <row r="878" spans="1:18" x14ac:dyDescent="0.25">
      <c r="A878" s="5">
        <v>715</v>
      </c>
      <c r="B878" s="6">
        <v>45678</v>
      </c>
      <c r="C878" s="8" t="s">
        <v>47</v>
      </c>
      <c r="D878" s="8" t="s">
        <v>35</v>
      </c>
      <c r="E878" s="8" t="s">
        <v>25</v>
      </c>
      <c r="F878" s="5">
        <v>1605</v>
      </c>
      <c r="G878" s="8" t="s">
        <v>26</v>
      </c>
      <c r="H878" s="8" t="s">
        <v>31</v>
      </c>
      <c r="I878" s="5">
        <v>17</v>
      </c>
      <c r="J878" s="10">
        <v>258</v>
      </c>
      <c r="K878" s="10">
        <v>4386</v>
      </c>
      <c r="L878" s="10">
        <v>2036.15</v>
      </c>
      <c r="M878" s="10">
        <v>2349.85</v>
      </c>
      <c r="N878" s="8" t="s">
        <v>28</v>
      </c>
      <c r="O878" s="8" t="s">
        <v>33</v>
      </c>
      <c r="P878" s="8" t="s">
        <v>44</v>
      </c>
      <c r="Q878" s="3">
        <f t="shared" si="14"/>
        <v>0.53576151390788873</v>
      </c>
      <c r="R878" s="8" t="str" cm="1">
        <f t="array" ref="R878">_xlfn.IFS(Q878&gt;40%,"Alta",Q878&gt;20%,"Média",Q878&lt;20%,"Baixa")</f>
        <v>Alta</v>
      </c>
    </row>
    <row r="879" spans="1:18" x14ac:dyDescent="0.25">
      <c r="A879" s="5">
        <v>893</v>
      </c>
      <c r="B879" s="6">
        <v>45735</v>
      </c>
      <c r="C879" s="8" t="s">
        <v>34</v>
      </c>
      <c r="D879" s="8" t="s">
        <v>17</v>
      </c>
      <c r="E879" s="8" t="s">
        <v>41</v>
      </c>
      <c r="F879" s="5">
        <v>4324</v>
      </c>
      <c r="G879" s="8" t="s">
        <v>26</v>
      </c>
      <c r="H879" s="8" t="s">
        <v>38</v>
      </c>
      <c r="I879" s="5">
        <v>13</v>
      </c>
      <c r="J879" s="10">
        <v>334</v>
      </c>
      <c r="K879" s="10">
        <v>4342</v>
      </c>
      <c r="L879" s="10">
        <v>2344.15</v>
      </c>
      <c r="M879" s="10">
        <v>1997.85</v>
      </c>
      <c r="N879" s="8" t="s">
        <v>32</v>
      </c>
      <c r="O879" s="8" t="s">
        <v>39</v>
      </c>
      <c r="P879" s="8" t="s">
        <v>44</v>
      </c>
      <c r="Q879" s="3">
        <f t="shared" si="14"/>
        <v>0.46012206356517732</v>
      </c>
      <c r="R879" s="8" t="str" cm="1">
        <f t="array" ref="R879">_xlfn.IFS(Q879&gt;40%,"Alta",Q879&gt;20%,"Média",Q879&lt;20%,"Baixa")</f>
        <v>Alta</v>
      </c>
    </row>
    <row r="880" spans="1:18" x14ac:dyDescent="0.25">
      <c r="A880" s="5">
        <v>465</v>
      </c>
      <c r="B880" s="6">
        <v>45705</v>
      </c>
      <c r="C880" s="8" t="s">
        <v>34</v>
      </c>
      <c r="D880" s="8" t="s">
        <v>17</v>
      </c>
      <c r="E880" s="8" t="s">
        <v>37</v>
      </c>
      <c r="F880" s="5">
        <v>3902</v>
      </c>
      <c r="G880" s="8" t="s">
        <v>36</v>
      </c>
      <c r="H880" s="8" t="s">
        <v>38</v>
      </c>
      <c r="I880" s="5">
        <v>9</v>
      </c>
      <c r="J880" s="10">
        <v>468</v>
      </c>
      <c r="K880" s="10">
        <v>4212</v>
      </c>
      <c r="L880" s="10">
        <v>1823.03</v>
      </c>
      <c r="M880" s="10">
        <v>2388.9699999999998</v>
      </c>
      <c r="N880" s="8" t="s">
        <v>32</v>
      </c>
      <c r="O880" s="8" t="s">
        <v>22</v>
      </c>
      <c r="P880" s="8" t="s">
        <v>40</v>
      </c>
      <c r="Q880" s="3">
        <f t="shared" si="14"/>
        <v>0.56718186134852799</v>
      </c>
      <c r="R880" s="8" t="str" cm="1">
        <f t="array" ref="R880">_xlfn.IFS(Q880&gt;40%,"Alta",Q880&gt;20%,"Média",Q880&lt;20%,"Baixa")</f>
        <v>Alta</v>
      </c>
    </row>
    <row r="881" spans="1:18" x14ac:dyDescent="0.25">
      <c r="A881" s="5">
        <v>187</v>
      </c>
      <c r="B881" s="6">
        <v>45659</v>
      </c>
      <c r="C881" s="8" t="s">
        <v>24</v>
      </c>
      <c r="D881" s="8" t="s">
        <v>45</v>
      </c>
      <c r="E881" s="8" t="s">
        <v>18</v>
      </c>
      <c r="F881" s="5">
        <v>6604</v>
      </c>
      <c r="G881" s="8" t="s">
        <v>19</v>
      </c>
      <c r="H881" s="8" t="s">
        <v>31</v>
      </c>
      <c r="I881" s="5">
        <v>1</v>
      </c>
      <c r="J881" s="10">
        <v>4194</v>
      </c>
      <c r="K881" s="10">
        <v>4194</v>
      </c>
      <c r="L881" s="10">
        <v>1748.7</v>
      </c>
      <c r="M881" s="10">
        <v>2445.3000000000002</v>
      </c>
      <c r="N881" s="8" t="s">
        <v>32</v>
      </c>
      <c r="O881" s="8" t="s">
        <v>33</v>
      </c>
      <c r="P881" s="8" t="s">
        <v>46</v>
      </c>
      <c r="Q881" s="3">
        <f t="shared" si="14"/>
        <v>0.58304721030042927</v>
      </c>
      <c r="R881" s="8" t="str" cm="1">
        <f t="array" ref="R881">_xlfn.IFS(Q881&gt;40%,"Alta",Q881&gt;20%,"Média",Q881&lt;20%,"Baixa")</f>
        <v>Alta</v>
      </c>
    </row>
    <row r="882" spans="1:18" x14ac:dyDescent="0.25">
      <c r="A882" s="5">
        <v>899</v>
      </c>
      <c r="B882" s="6">
        <v>45658</v>
      </c>
      <c r="C882" s="8" t="s">
        <v>47</v>
      </c>
      <c r="D882" s="8" t="s">
        <v>17</v>
      </c>
      <c r="E882" s="8" t="s">
        <v>41</v>
      </c>
      <c r="F882" s="5">
        <v>3674</v>
      </c>
      <c r="G882" s="8" t="s">
        <v>19</v>
      </c>
      <c r="H882" s="8" t="s">
        <v>38</v>
      </c>
      <c r="I882" s="5">
        <v>5</v>
      </c>
      <c r="J882" s="10">
        <v>825</v>
      </c>
      <c r="K882" s="10">
        <v>4125</v>
      </c>
      <c r="L882" s="10">
        <v>2918.21</v>
      </c>
      <c r="M882" s="10">
        <v>1206.79</v>
      </c>
      <c r="N882" s="8" t="s">
        <v>32</v>
      </c>
      <c r="O882" s="8" t="s">
        <v>39</v>
      </c>
      <c r="P882" s="8" t="s">
        <v>23</v>
      </c>
      <c r="Q882" s="3">
        <f t="shared" si="14"/>
        <v>0.29255515151515149</v>
      </c>
      <c r="R882" s="8" t="str" cm="1">
        <f t="array" ref="R882">_xlfn.IFS(Q882&gt;40%,"Alta",Q882&gt;20%,"Média",Q882&lt;20%,"Baixa")</f>
        <v>Média</v>
      </c>
    </row>
    <row r="883" spans="1:18" x14ac:dyDescent="0.25">
      <c r="A883" s="5">
        <v>517</v>
      </c>
      <c r="B883" s="6">
        <v>45678</v>
      </c>
      <c r="C883" s="8" t="s">
        <v>24</v>
      </c>
      <c r="D883" s="8" t="s">
        <v>42</v>
      </c>
      <c r="E883" s="8" t="s">
        <v>41</v>
      </c>
      <c r="F883" s="5">
        <v>8680</v>
      </c>
      <c r="G883" s="8" t="s">
        <v>19</v>
      </c>
      <c r="H883" s="8" t="s">
        <v>43</v>
      </c>
      <c r="I883" s="5">
        <v>1</v>
      </c>
      <c r="J883" s="10">
        <v>4117</v>
      </c>
      <c r="K883" s="10">
        <v>4117</v>
      </c>
      <c r="L883" s="10">
        <v>2450.66</v>
      </c>
      <c r="M883" s="10">
        <v>1666.34</v>
      </c>
      <c r="N883" s="8" t="s">
        <v>21</v>
      </c>
      <c r="O883" s="8" t="s">
        <v>33</v>
      </c>
      <c r="P883" s="8" t="s">
        <v>40</v>
      </c>
      <c r="Q883" s="3">
        <f t="shared" si="14"/>
        <v>0.40474617439883409</v>
      </c>
      <c r="R883" s="8" t="str" cm="1">
        <f t="array" ref="R883">_xlfn.IFS(Q883&gt;40%,"Alta",Q883&gt;20%,"Média",Q883&lt;20%,"Baixa")</f>
        <v>Alta</v>
      </c>
    </row>
    <row r="884" spans="1:18" x14ac:dyDescent="0.25">
      <c r="A884" s="5">
        <v>519</v>
      </c>
      <c r="B884" s="6">
        <v>45825</v>
      </c>
      <c r="C884" s="8" t="s">
        <v>34</v>
      </c>
      <c r="D884" s="8" t="s">
        <v>42</v>
      </c>
      <c r="E884" s="8" t="s">
        <v>41</v>
      </c>
      <c r="F884" s="5">
        <v>3351</v>
      </c>
      <c r="G884" s="8" t="s">
        <v>36</v>
      </c>
      <c r="H884" s="8" t="s">
        <v>31</v>
      </c>
      <c r="I884" s="5">
        <v>11</v>
      </c>
      <c r="J884" s="10">
        <v>373</v>
      </c>
      <c r="K884" s="10">
        <v>4103</v>
      </c>
      <c r="L884" s="10">
        <v>2356.1999999999998</v>
      </c>
      <c r="M884" s="10">
        <v>1746.8</v>
      </c>
      <c r="N884" s="8" t="s">
        <v>32</v>
      </c>
      <c r="O884" s="8" t="s">
        <v>33</v>
      </c>
      <c r="P884" s="8" t="s">
        <v>23</v>
      </c>
      <c r="Q884" s="3">
        <f t="shared" si="14"/>
        <v>0.42573726541554957</v>
      </c>
      <c r="R884" s="8" t="str" cm="1">
        <f t="array" ref="R884">_xlfn.IFS(Q884&gt;40%,"Alta",Q884&gt;20%,"Média",Q884&lt;20%,"Baixa")</f>
        <v>Alta</v>
      </c>
    </row>
    <row r="885" spans="1:18" x14ac:dyDescent="0.25">
      <c r="A885" s="5">
        <v>831</v>
      </c>
      <c r="B885" s="6">
        <v>45828</v>
      </c>
      <c r="C885" s="8" t="s">
        <v>47</v>
      </c>
      <c r="D885" s="8" t="s">
        <v>42</v>
      </c>
      <c r="E885" s="8" t="s">
        <v>37</v>
      </c>
      <c r="F885" s="5">
        <v>1131</v>
      </c>
      <c r="G885" s="8" t="s">
        <v>36</v>
      </c>
      <c r="H885" s="8" t="s">
        <v>38</v>
      </c>
      <c r="I885" s="5">
        <v>14</v>
      </c>
      <c r="J885" s="10">
        <v>292</v>
      </c>
      <c r="K885" s="10">
        <v>4088</v>
      </c>
      <c r="L885" s="10">
        <v>1818</v>
      </c>
      <c r="M885" s="10">
        <v>2270</v>
      </c>
      <c r="N885" s="8" t="s">
        <v>28</v>
      </c>
      <c r="O885" s="8" t="s">
        <v>22</v>
      </c>
      <c r="P885" s="8" t="s">
        <v>46</v>
      </c>
      <c r="Q885" s="3">
        <f t="shared" si="14"/>
        <v>0.55528375733855184</v>
      </c>
      <c r="R885" s="8" t="str" cm="1">
        <f t="array" ref="R885">_xlfn.IFS(Q885&gt;40%,"Alta",Q885&gt;20%,"Média",Q885&lt;20%,"Baixa")</f>
        <v>Alta</v>
      </c>
    </row>
    <row r="886" spans="1:18" x14ac:dyDescent="0.25">
      <c r="A886" s="5">
        <v>167</v>
      </c>
      <c r="B886" s="6">
        <v>45813</v>
      </c>
      <c r="C886" s="8" t="s">
        <v>34</v>
      </c>
      <c r="D886" s="8" t="s">
        <v>17</v>
      </c>
      <c r="E886" s="8" t="s">
        <v>37</v>
      </c>
      <c r="F886" s="5">
        <v>1388</v>
      </c>
      <c r="G886" s="8" t="s">
        <v>36</v>
      </c>
      <c r="H886" s="8" t="s">
        <v>27</v>
      </c>
      <c r="I886" s="5">
        <v>6</v>
      </c>
      <c r="J886" s="10">
        <v>680</v>
      </c>
      <c r="K886" s="10">
        <v>4080</v>
      </c>
      <c r="L886" s="10">
        <v>2005.15</v>
      </c>
      <c r="M886" s="10">
        <v>2074.85</v>
      </c>
      <c r="N886" s="8" t="s">
        <v>28</v>
      </c>
      <c r="O886" s="8" t="s">
        <v>39</v>
      </c>
      <c r="P886" s="8" t="s">
        <v>46</v>
      </c>
      <c r="Q886" s="3">
        <f t="shared" si="14"/>
        <v>0.50854166666666667</v>
      </c>
      <c r="R886" s="8" t="str" cm="1">
        <f t="array" ref="R886">_xlfn.IFS(Q886&gt;40%,"Alta",Q886&gt;20%,"Média",Q886&lt;20%,"Baixa")</f>
        <v>Alta</v>
      </c>
    </row>
    <row r="887" spans="1:18" x14ac:dyDescent="0.25">
      <c r="A887" s="5">
        <v>202</v>
      </c>
      <c r="B887" s="6">
        <v>45663</v>
      </c>
      <c r="C887" s="8" t="s">
        <v>34</v>
      </c>
      <c r="D887" s="8" t="s">
        <v>17</v>
      </c>
      <c r="E887" s="8" t="s">
        <v>25</v>
      </c>
      <c r="F887" s="5">
        <v>8819</v>
      </c>
      <c r="G887" s="8" t="s">
        <v>26</v>
      </c>
      <c r="H887" s="8" t="s">
        <v>31</v>
      </c>
      <c r="I887" s="5">
        <v>7</v>
      </c>
      <c r="J887" s="10">
        <v>568</v>
      </c>
      <c r="K887" s="10">
        <v>3976</v>
      </c>
      <c r="L887" s="10">
        <v>3050.99</v>
      </c>
      <c r="M887" s="10">
        <v>925.01</v>
      </c>
      <c r="N887" s="8" t="s">
        <v>21</v>
      </c>
      <c r="O887" s="8" t="s">
        <v>22</v>
      </c>
      <c r="P887" s="8" t="s">
        <v>23</v>
      </c>
      <c r="Q887" s="3">
        <f t="shared" si="14"/>
        <v>0.23264839034205231</v>
      </c>
      <c r="R887" s="8" t="str" cm="1">
        <f t="array" ref="R887">_xlfn.IFS(Q887&gt;40%,"Alta",Q887&gt;20%,"Média",Q887&lt;20%,"Baixa")</f>
        <v>Média</v>
      </c>
    </row>
    <row r="888" spans="1:18" x14ac:dyDescent="0.25">
      <c r="A888" s="5">
        <v>581</v>
      </c>
      <c r="B888" s="6">
        <v>45762</v>
      </c>
      <c r="C888" s="8" t="s">
        <v>34</v>
      </c>
      <c r="D888" s="8" t="s">
        <v>35</v>
      </c>
      <c r="E888" s="8" t="s">
        <v>18</v>
      </c>
      <c r="F888" s="5">
        <v>5897</v>
      </c>
      <c r="G888" s="8" t="s">
        <v>36</v>
      </c>
      <c r="H888" s="8" t="s">
        <v>38</v>
      </c>
      <c r="I888" s="5">
        <v>3</v>
      </c>
      <c r="J888" s="10">
        <v>1314</v>
      </c>
      <c r="K888" s="10">
        <v>3942</v>
      </c>
      <c r="L888" s="10">
        <v>3086.17</v>
      </c>
      <c r="M888" s="10">
        <v>855.83</v>
      </c>
      <c r="N888" s="8" t="s">
        <v>32</v>
      </c>
      <c r="O888" s="8" t="s">
        <v>33</v>
      </c>
      <c r="P888" s="8" t="s">
        <v>44</v>
      </c>
      <c r="Q888" s="3">
        <f t="shared" si="14"/>
        <v>0.21710553018772197</v>
      </c>
      <c r="R888" s="8" t="str" cm="1">
        <f t="array" ref="R888">_xlfn.IFS(Q888&gt;40%,"Alta",Q888&gt;20%,"Média",Q888&lt;20%,"Baixa")</f>
        <v>Média</v>
      </c>
    </row>
    <row r="889" spans="1:18" x14ac:dyDescent="0.25">
      <c r="A889" s="5">
        <v>431</v>
      </c>
      <c r="B889" s="6">
        <v>45790</v>
      </c>
      <c r="C889" s="8" t="s">
        <v>24</v>
      </c>
      <c r="D889" s="8" t="s">
        <v>17</v>
      </c>
      <c r="E889" s="8" t="s">
        <v>18</v>
      </c>
      <c r="F889" s="5">
        <v>4012</v>
      </c>
      <c r="G889" s="8" t="s">
        <v>26</v>
      </c>
      <c r="H889" s="8" t="s">
        <v>31</v>
      </c>
      <c r="I889" s="5">
        <v>10</v>
      </c>
      <c r="J889" s="10">
        <v>394</v>
      </c>
      <c r="K889" s="10">
        <v>3940</v>
      </c>
      <c r="L889" s="10">
        <v>2737.46</v>
      </c>
      <c r="M889" s="10">
        <v>1202.54</v>
      </c>
      <c r="N889" s="8" t="s">
        <v>21</v>
      </c>
      <c r="O889" s="8" t="s">
        <v>39</v>
      </c>
      <c r="P889" s="8" t="s">
        <v>46</v>
      </c>
      <c r="Q889" s="3">
        <f t="shared" si="14"/>
        <v>0.30521319796954316</v>
      </c>
      <c r="R889" s="8" t="str" cm="1">
        <f t="array" ref="R889">_xlfn.IFS(Q889&gt;40%,"Alta",Q889&gt;20%,"Média",Q889&lt;20%,"Baixa")</f>
        <v>Média</v>
      </c>
    </row>
    <row r="890" spans="1:18" x14ac:dyDescent="0.25">
      <c r="A890" s="5">
        <v>84</v>
      </c>
      <c r="B890" s="6">
        <v>45758</v>
      </c>
      <c r="C890" s="8" t="s">
        <v>24</v>
      </c>
      <c r="D890" s="8" t="s">
        <v>45</v>
      </c>
      <c r="E890" s="8" t="s">
        <v>18</v>
      </c>
      <c r="F890" s="5">
        <v>8870</v>
      </c>
      <c r="G890" s="8" t="s">
        <v>26</v>
      </c>
      <c r="H890" s="8" t="s">
        <v>20</v>
      </c>
      <c r="I890" s="5">
        <v>2</v>
      </c>
      <c r="J890" s="10">
        <v>1959</v>
      </c>
      <c r="K890" s="10">
        <v>3918</v>
      </c>
      <c r="L890" s="10">
        <v>2796.91</v>
      </c>
      <c r="M890" s="10">
        <v>1121.0899999999999</v>
      </c>
      <c r="N890" s="8" t="s">
        <v>21</v>
      </c>
      <c r="O890" s="8" t="s">
        <v>39</v>
      </c>
      <c r="P890" s="8" t="s">
        <v>23</v>
      </c>
      <c r="Q890" s="3">
        <f t="shared" si="14"/>
        <v>0.2861383358856559</v>
      </c>
      <c r="R890" s="8" t="str" cm="1">
        <f t="array" ref="R890">_xlfn.IFS(Q890&gt;40%,"Alta",Q890&gt;20%,"Média",Q890&lt;20%,"Baixa")</f>
        <v>Média</v>
      </c>
    </row>
    <row r="891" spans="1:18" x14ac:dyDescent="0.25">
      <c r="A891" s="5">
        <v>181</v>
      </c>
      <c r="B891" s="6">
        <v>45693</v>
      </c>
      <c r="C891" s="8" t="s">
        <v>16</v>
      </c>
      <c r="D891" s="8" t="s">
        <v>42</v>
      </c>
      <c r="E891" s="8" t="s">
        <v>41</v>
      </c>
      <c r="F891" s="5">
        <v>4426</v>
      </c>
      <c r="G891" s="8" t="s">
        <v>26</v>
      </c>
      <c r="H891" s="8" t="s">
        <v>20</v>
      </c>
      <c r="I891" s="5">
        <v>1</v>
      </c>
      <c r="J891" s="10">
        <v>3904</v>
      </c>
      <c r="K891" s="10">
        <v>3904</v>
      </c>
      <c r="L891" s="10">
        <v>1907.75</v>
      </c>
      <c r="M891" s="10">
        <v>1996.25</v>
      </c>
      <c r="N891" s="8" t="s">
        <v>32</v>
      </c>
      <c r="O891" s="8" t="s">
        <v>33</v>
      </c>
      <c r="P891" s="8" t="s">
        <v>29</v>
      </c>
      <c r="Q891" s="3">
        <f t="shared" si="14"/>
        <v>0.51133452868852458</v>
      </c>
      <c r="R891" s="8" t="str" cm="1">
        <f t="array" ref="R891">_xlfn.IFS(Q891&gt;40%,"Alta",Q891&gt;20%,"Média",Q891&lt;20%,"Baixa")</f>
        <v>Alta</v>
      </c>
    </row>
    <row r="892" spans="1:18" x14ac:dyDescent="0.25">
      <c r="A892" s="5">
        <v>565</v>
      </c>
      <c r="B892" s="6">
        <v>45777</v>
      </c>
      <c r="C892" s="8" t="s">
        <v>16</v>
      </c>
      <c r="D892" s="8" t="s">
        <v>17</v>
      </c>
      <c r="E892" s="8" t="s">
        <v>25</v>
      </c>
      <c r="F892" s="5">
        <v>9262</v>
      </c>
      <c r="G892" s="8" t="s">
        <v>36</v>
      </c>
      <c r="H892" s="8" t="s">
        <v>27</v>
      </c>
      <c r="I892" s="5">
        <v>14</v>
      </c>
      <c r="J892" s="10">
        <v>277</v>
      </c>
      <c r="K892" s="10">
        <v>3878</v>
      </c>
      <c r="L892" s="10">
        <v>2428.8200000000002</v>
      </c>
      <c r="M892" s="10">
        <v>1449.18</v>
      </c>
      <c r="N892" s="8" t="s">
        <v>28</v>
      </c>
      <c r="O892" s="8" t="s">
        <v>33</v>
      </c>
      <c r="P892" s="8" t="s">
        <v>40</v>
      </c>
      <c r="Q892" s="3">
        <f t="shared" si="14"/>
        <v>0.37369262506446621</v>
      </c>
      <c r="R892" s="8" t="str" cm="1">
        <f t="array" ref="R892">_xlfn.IFS(Q892&gt;40%,"Alta",Q892&gt;20%,"Média",Q892&lt;20%,"Baixa")</f>
        <v>Média</v>
      </c>
    </row>
    <row r="893" spans="1:18" x14ac:dyDescent="0.25">
      <c r="A893" s="5">
        <v>226</v>
      </c>
      <c r="B893" s="6">
        <v>45743</v>
      </c>
      <c r="C893" s="8" t="s">
        <v>47</v>
      </c>
      <c r="D893" s="8" t="s">
        <v>42</v>
      </c>
      <c r="E893" s="8" t="s">
        <v>37</v>
      </c>
      <c r="F893" s="5">
        <v>4670</v>
      </c>
      <c r="G893" s="8" t="s">
        <v>26</v>
      </c>
      <c r="H893" s="8" t="s">
        <v>20</v>
      </c>
      <c r="I893" s="5">
        <v>2</v>
      </c>
      <c r="J893" s="10">
        <v>1931</v>
      </c>
      <c r="K893" s="10">
        <v>3862</v>
      </c>
      <c r="L893" s="10">
        <v>1930.97</v>
      </c>
      <c r="M893" s="10">
        <v>1931.03</v>
      </c>
      <c r="N893" s="8" t="s">
        <v>28</v>
      </c>
      <c r="O893" s="8" t="s">
        <v>33</v>
      </c>
      <c r="P893" s="8" t="s">
        <v>46</v>
      </c>
      <c r="Q893" s="3">
        <f t="shared" si="14"/>
        <v>0.50000776799585711</v>
      </c>
      <c r="R893" s="8" t="str" cm="1">
        <f t="array" ref="R893">_xlfn.IFS(Q893&gt;40%,"Alta",Q893&gt;20%,"Média",Q893&lt;20%,"Baixa")</f>
        <v>Alta</v>
      </c>
    </row>
    <row r="894" spans="1:18" x14ac:dyDescent="0.25">
      <c r="A894" s="5">
        <v>856</v>
      </c>
      <c r="B894" s="6">
        <v>45821</v>
      </c>
      <c r="C894" s="8" t="s">
        <v>47</v>
      </c>
      <c r="D894" s="8" t="s">
        <v>35</v>
      </c>
      <c r="E894" s="8" t="s">
        <v>37</v>
      </c>
      <c r="F894" s="5">
        <v>1773</v>
      </c>
      <c r="G894" s="8" t="s">
        <v>26</v>
      </c>
      <c r="H894" s="8" t="s">
        <v>43</v>
      </c>
      <c r="I894" s="5">
        <v>1</v>
      </c>
      <c r="J894" s="10">
        <v>3854</v>
      </c>
      <c r="K894" s="10">
        <v>3854</v>
      </c>
      <c r="L894" s="10">
        <v>2433.7199999999998</v>
      </c>
      <c r="M894" s="10">
        <v>1420.28</v>
      </c>
      <c r="N894" s="8" t="s">
        <v>28</v>
      </c>
      <c r="O894" s="8" t="s">
        <v>33</v>
      </c>
      <c r="P894" s="8" t="s">
        <v>29</v>
      </c>
      <c r="Q894" s="3">
        <f t="shared" si="14"/>
        <v>0.36852101712506485</v>
      </c>
      <c r="R894" s="8" t="str" cm="1">
        <f t="array" ref="R894">_xlfn.IFS(Q894&gt;40%,"Alta",Q894&gt;20%,"Média",Q894&lt;20%,"Baixa")</f>
        <v>Média</v>
      </c>
    </row>
    <row r="895" spans="1:18" x14ac:dyDescent="0.25">
      <c r="A895" s="5">
        <v>941</v>
      </c>
      <c r="B895" s="6">
        <v>45834</v>
      </c>
      <c r="C895" s="8" t="s">
        <v>24</v>
      </c>
      <c r="D895" s="8" t="s">
        <v>35</v>
      </c>
      <c r="E895" s="8" t="s">
        <v>37</v>
      </c>
      <c r="F895" s="5">
        <v>1097</v>
      </c>
      <c r="G895" s="8" t="s">
        <v>19</v>
      </c>
      <c r="H895" s="8" t="s">
        <v>43</v>
      </c>
      <c r="I895" s="5">
        <v>1</v>
      </c>
      <c r="J895" s="10">
        <v>3843</v>
      </c>
      <c r="K895" s="10">
        <v>3843</v>
      </c>
      <c r="L895" s="10">
        <v>2520.71</v>
      </c>
      <c r="M895" s="10">
        <v>1322.29</v>
      </c>
      <c r="N895" s="8" t="s">
        <v>28</v>
      </c>
      <c r="O895" s="8" t="s">
        <v>33</v>
      </c>
      <c r="P895" s="8" t="s">
        <v>40</v>
      </c>
      <c r="Q895" s="3">
        <f t="shared" si="14"/>
        <v>0.34407754358574028</v>
      </c>
      <c r="R895" s="8" t="str" cm="1">
        <f t="array" ref="R895">_xlfn.IFS(Q895&gt;40%,"Alta",Q895&gt;20%,"Média",Q895&lt;20%,"Baixa")</f>
        <v>Média</v>
      </c>
    </row>
    <row r="896" spans="1:18" x14ac:dyDescent="0.25">
      <c r="A896" s="5">
        <v>534</v>
      </c>
      <c r="B896" s="6">
        <v>45731</v>
      </c>
      <c r="C896" s="8" t="s">
        <v>34</v>
      </c>
      <c r="D896" s="8" t="s">
        <v>35</v>
      </c>
      <c r="E896" s="8" t="s">
        <v>18</v>
      </c>
      <c r="F896" s="5">
        <v>1167</v>
      </c>
      <c r="G896" s="8" t="s">
        <v>26</v>
      </c>
      <c r="H896" s="8" t="s">
        <v>31</v>
      </c>
      <c r="I896" s="5">
        <v>17</v>
      </c>
      <c r="J896" s="10">
        <v>223</v>
      </c>
      <c r="K896" s="10">
        <v>3791</v>
      </c>
      <c r="L896" s="10">
        <v>2555.59</v>
      </c>
      <c r="M896" s="10">
        <v>1235.4100000000001</v>
      </c>
      <c r="N896" s="8" t="s">
        <v>32</v>
      </c>
      <c r="O896" s="8" t="s">
        <v>39</v>
      </c>
      <c r="P896" s="8" t="s">
        <v>46</v>
      </c>
      <c r="Q896" s="3">
        <f t="shared" si="14"/>
        <v>0.32587971511474545</v>
      </c>
      <c r="R896" s="8" t="str" cm="1">
        <f t="array" ref="R896">_xlfn.IFS(Q896&gt;40%,"Alta",Q896&gt;20%,"Média",Q896&lt;20%,"Baixa")</f>
        <v>Média</v>
      </c>
    </row>
    <row r="897" spans="1:18" x14ac:dyDescent="0.25">
      <c r="A897" s="5">
        <v>360</v>
      </c>
      <c r="B897" s="6">
        <v>45757</v>
      </c>
      <c r="C897" s="8" t="s">
        <v>24</v>
      </c>
      <c r="D897" s="8" t="s">
        <v>30</v>
      </c>
      <c r="E897" s="8" t="s">
        <v>41</v>
      </c>
      <c r="F897" s="5">
        <v>5509</v>
      </c>
      <c r="G897" s="8" t="s">
        <v>26</v>
      </c>
      <c r="H897" s="8" t="s">
        <v>20</v>
      </c>
      <c r="I897" s="5">
        <v>1</v>
      </c>
      <c r="J897" s="10">
        <v>3725</v>
      </c>
      <c r="K897" s="10">
        <v>3725</v>
      </c>
      <c r="L897" s="10">
        <v>2104.86</v>
      </c>
      <c r="M897" s="10">
        <v>1620.14</v>
      </c>
      <c r="N897" s="8" t="s">
        <v>28</v>
      </c>
      <c r="O897" s="8" t="s">
        <v>22</v>
      </c>
      <c r="P897" s="8" t="s">
        <v>29</v>
      </c>
      <c r="Q897" s="3">
        <f t="shared" si="14"/>
        <v>0.4349369127516779</v>
      </c>
      <c r="R897" s="8" t="str" cm="1">
        <f t="array" ref="R897">_xlfn.IFS(Q897&gt;40%,"Alta",Q897&gt;20%,"Média",Q897&lt;20%,"Baixa")</f>
        <v>Alta</v>
      </c>
    </row>
    <row r="898" spans="1:18" x14ac:dyDescent="0.25">
      <c r="A898" s="5">
        <v>340</v>
      </c>
      <c r="B898" s="6">
        <v>45750</v>
      </c>
      <c r="C898" s="8" t="s">
        <v>24</v>
      </c>
      <c r="D898" s="8" t="s">
        <v>30</v>
      </c>
      <c r="E898" s="8" t="s">
        <v>41</v>
      </c>
      <c r="F898" s="5">
        <v>1148</v>
      </c>
      <c r="G898" s="8" t="s">
        <v>36</v>
      </c>
      <c r="H898" s="8" t="s">
        <v>43</v>
      </c>
      <c r="I898" s="5">
        <v>4</v>
      </c>
      <c r="J898" s="10">
        <v>931</v>
      </c>
      <c r="K898" s="10">
        <v>3724</v>
      </c>
      <c r="L898" s="10">
        <v>2692.39</v>
      </c>
      <c r="M898" s="10">
        <v>1031.6099999999999</v>
      </c>
      <c r="N898" s="8" t="s">
        <v>21</v>
      </c>
      <c r="O898" s="8" t="s">
        <v>22</v>
      </c>
      <c r="P898" s="8" t="s">
        <v>40</v>
      </c>
      <c r="Q898" s="3">
        <f t="shared" ref="Q898:Q961" si="15">M898/K898</f>
        <v>0.27701664876476906</v>
      </c>
      <c r="R898" s="8" t="str" cm="1">
        <f t="array" ref="R898">_xlfn.IFS(Q898&gt;40%,"Alta",Q898&gt;20%,"Média",Q898&lt;20%,"Baixa")</f>
        <v>Média</v>
      </c>
    </row>
    <row r="899" spans="1:18" x14ac:dyDescent="0.25">
      <c r="A899" s="5">
        <v>575</v>
      </c>
      <c r="B899" s="6">
        <v>45662</v>
      </c>
      <c r="C899" s="8" t="s">
        <v>34</v>
      </c>
      <c r="D899" s="8" t="s">
        <v>45</v>
      </c>
      <c r="E899" s="8" t="s">
        <v>18</v>
      </c>
      <c r="F899" s="5">
        <v>4369</v>
      </c>
      <c r="G899" s="8" t="s">
        <v>26</v>
      </c>
      <c r="H899" s="8" t="s">
        <v>27</v>
      </c>
      <c r="I899" s="5">
        <v>7</v>
      </c>
      <c r="J899" s="10">
        <v>524</v>
      </c>
      <c r="K899" s="10">
        <v>3668</v>
      </c>
      <c r="L899" s="10">
        <v>1904.05</v>
      </c>
      <c r="M899" s="10">
        <v>1763.95</v>
      </c>
      <c r="N899" s="8" t="s">
        <v>21</v>
      </c>
      <c r="O899" s="8" t="s">
        <v>33</v>
      </c>
      <c r="P899" s="8" t="s">
        <v>46</v>
      </c>
      <c r="Q899" s="3">
        <f t="shared" si="15"/>
        <v>0.48090239912758997</v>
      </c>
      <c r="R899" s="8" t="str" cm="1">
        <f t="array" ref="R899">_xlfn.IFS(Q899&gt;40%,"Alta",Q899&gt;20%,"Média",Q899&lt;20%,"Baixa")</f>
        <v>Alta</v>
      </c>
    </row>
    <row r="900" spans="1:18" x14ac:dyDescent="0.25">
      <c r="A900" s="5">
        <v>872</v>
      </c>
      <c r="B900" s="6">
        <v>45677</v>
      </c>
      <c r="C900" s="8" t="s">
        <v>16</v>
      </c>
      <c r="D900" s="8" t="s">
        <v>45</v>
      </c>
      <c r="E900" s="8" t="s">
        <v>41</v>
      </c>
      <c r="F900" s="5">
        <v>2134</v>
      </c>
      <c r="G900" s="8" t="s">
        <v>36</v>
      </c>
      <c r="H900" s="8" t="s">
        <v>31</v>
      </c>
      <c r="I900" s="5">
        <v>10</v>
      </c>
      <c r="J900" s="10">
        <v>366</v>
      </c>
      <c r="K900" s="10">
        <v>3660</v>
      </c>
      <c r="L900" s="10">
        <v>2907.72</v>
      </c>
      <c r="M900" s="10">
        <v>752.28</v>
      </c>
      <c r="N900" s="8" t="s">
        <v>21</v>
      </c>
      <c r="O900" s="8" t="s">
        <v>39</v>
      </c>
      <c r="P900" s="8" t="s">
        <v>40</v>
      </c>
      <c r="Q900" s="3">
        <f t="shared" si="15"/>
        <v>0.20554098360655737</v>
      </c>
      <c r="R900" s="8" t="str" cm="1">
        <f t="array" ref="R900">_xlfn.IFS(Q900&gt;40%,"Alta",Q900&gt;20%,"Média",Q900&lt;20%,"Baixa")</f>
        <v>Média</v>
      </c>
    </row>
    <row r="901" spans="1:18" x14ac:dyDescent="0.25">
      <c r="A901" s="5">
        <v>851</v>
      </c>
      <c r="B901" s="6">
        <v>45836</v>
      </c>
      <c r="C901" s="8" t="s">
        <v>24</v>
      </c>
      <c r="D901" s="8" t="s">
        <v>35</v>
      </c>
      <c r="E901" s="8" t="s">
        <v>18</v>
      </c>
      <c r="F901" s="5">
        <v>2806</v>
      </c>
      <c r="G901" s="8" t="s">
        <v>36</v>
      </c>
      <c r="H901" s="8" t="s">
        <v>31</v>
      </c>
      <c r="I901" s="5">
        <v>1</v>
      </c>
      <c r="J901" s="10">
        <v>3642</v>
      </c>
      <c r="K901" s="10">
        <v>3642</v>
      </c>
      <c r="L901" s="10">
        <v>1647.83</v>
      </c>
      <c r="M901" s="10">
        <v>1994.17</v>
      </c>
      <c r="N901" s="8" t="s">
        <v>28</v>
      </c>
      <c r="O901" s="8" t="s">
        <v>22</v>
      </c>
      <c r="P901" s="8" t="s">
        <v>29</v>
      </c>
      <c r="Q901" s="3">
        <f t="shared" si="15"/>
        <v>0.54754805052169142</v>
      </c>
      <c r="R901" s="8" t="str" cm="1">
        <f t="array" ref="R901">_xlfn.IFS(Q901&gt;40%,"Alta",Q901&gt;20%,"Média",Q901&lt;20%,"Baixa")</f>
        <v>Alta</v>
      </c>
    </row>
    <row r="902" spans="1:18" x14ac:dyDescent="0.25">
      <c r="A902" s="5">
        <v>527</v>
      </c>
      <c r="B902" s="6">
        <v>45835</v>
      </c>
      <c r="C902" s="8" t="s">
        <v>47</v>
      </c>
      <c r="D902" s="8" t="s">
        <v>35</v>
      </c>
      <c r="E902" s="8" t="s">
        <v>41</v>
      </c>
      <c r="F902" s="5">
        <v>6996</v>
      </c>
      <c r="G902" s="8" t="s">
        <v>26</v>
      </c>
      <c r="H902" s="8" t="s">
        <v>20</v>
      </c>
      <c r="I902" s="5">
        <v>1</v>
      </c>
      <c r="J902" s="10">
        <v>3597</v>
      </c>
      <c r="K902" s="10">
        <v>3597</v>
      </c>
      <c r="L902" s="10">
        <v>2689.33</v>
      </c>
      <c r="M902" s="10">
        <v>907.67</v>
      </c>
      <c r="N902" s="8" t="s">
        <v>32</v>
      </c>
      <c r="O902" s="8" t="s">
        <v>22</v>
      </c>
      <c r="P902" s="8" t="s">
        <v>46</v>
      </c>
      <c r="Q902" s="3">
        <f t="shared" si="15"/>
        <v>0.25234083958854597</v>
      </c>
      <c r="R902" s="8" t="str" cm="1">
        <f t="array" ref="R902">_xlfn.IFS(Q902&gt;40%,"Alta",Q902&gt;20%,"Média",Q902&lt;20%,"Baixa")</f>
        <v>Média</v>
      </c>
    </row>
    <row r="903" spans="1:18" x14ac:dyDescent="0.25">
      <c r="A903" s="5">
        <v>169</v>
      </c>
      <c r="B903" s="6">
        <v>45754</v>
      </c>
      <c r="C903" s="8" t="s">
        <v>24</v>
      </c>
      <c r="D903" s="8" t="s">
        <v>45</v>
      </c>
      <c r="E903" s="8" t="s">
        <v>37</v>
      </c>
      <c r="F903" s="5">
        <v>1756</v>
      </c>
      <c r="G903" s="8" t="s">
        <v>19</v>
      </c>
      <c r="H903" s="8" t="s">
        <v>20</v>
      </c>
      <c r="I903" s="5">
        <v>1</v>
      </c>
      <c r="J903" s="10">
        <v>3550</v>
      </c>
      <c r="K903" s="10">
        <v>3550</v>
      </c>
      <c r="L903" s="10">
        <v>2407.71</v>
      </c>
      <c r="M903" s="10">
        <v>1142.29</v>
      </c>
      <c r="N903" s="8" t="s">
        <v>28</v>
      </c>
      <c r="O903" s="8" t="s">
        <v>39</v>
      </c>
      <c r="P903" s="8" t="s">
        <v>44</v>
      </c>
      <c r="Q903" s="3">
        <f t="shared" si="15"/>
        <v>0.3217718309859155</v>
      </c>
      <c r="R903" s="8" t="str" cm="1">
        <f t="array" ref="R903">_xlfn.IFS(Q903&gt;40%,"Alta",Q903&gt;20%,"Média",Q903&lt;20%,"Baixa")</f>
        <v>Média</v>
      </c>
    </row>
    <row r="904" spans="1:18" x14ac:dyDescent="0.25">
      <c r="A904" s="5">
        <v>243</v>
      </c>
      <c r="B904" s="6">
        <v>45756</v>
      </c>
      <c r="C904" s="8" t="s">
        <v>34</v>
      </c>
      <c r="D904" s="8" t="s">
        <v>30</v>
      </c>
      <c r="E904" s="8" t="s">
        <v>41</v>
      </c>
      <c r="F904" s="5">
        <v>7957</v>
      </c>
      <c r="G904" s="8" t="s">
        <v>26</v>
      </c>
      <c r="H904" s="8" t="s">
        <v>38</v>
      </c>
      <c r="I904" s="5">
        <v>1</v>
      </c>
      <c r="J904" s="10">
        <v>3508</v>
      </c>
      <c r="K904" s="10">
        <v>3508</v>
      </c>
      <c r="L904" s="10">
        <v>2328.1</v>
      </c>
      <c r="M904" s="10">
        <v>1179.9000000000001</v>
      </c>
      <c r="N904" s="8" t="s">
        <v>32</v>
      </c>
      <c r="O904" s="8" t="s">
        <v>33</v>
      </c>
      <c r="P904" s="8" t="s">
        <v>44</v>
      </c>
      <c r="Q904" s="3">
        <f t="shared" si="15"/>
        <v>0.33634549600912206</v>
      </c>
      <c r="R904" s="8" t="str" cm="1">
        <f t="array" ref="R904">_xlfn.IFS(Q904&gt;40%,"Alta",Q904&gt;20%,"Média",Q904&lt;20%,"Baixa")</f>
        <v>Média</v>
      </c>
    </row>
    <row r="905" spans="1:18" x14ac:dyDescent="0.25">
      <c r="A905" s="5">
        <v>660</v>
      </c>
      <c r="B905" s="6">
        <v>45674</v>
      </c>
      <c r="C905" s="8" t="s">
        <v>47</v>
      </c>
      <c r="D905" s="8" t="s">
        <v>45</v>
      </c>
      <c r="E905" s="8" t="s">
        <v>18</v>
      </c>
      <c r="F905" s="5">
        <v>2684</v>
      </c>
      <c r="G905" s="8" t="s">
        <v>26</v>
      </c>
      <c r="H905" s="8" t="s">
        <v>31</v>
      </c>
      <c r="I905" s="5">
        <v>4</v>
      </c>
      <c r="J905" s="10">
        <v>877</v>
      </c>
      <c r="K905" s="10">
        <v>3508</v>
      </c>
      <c r="L905" s="10">
        <v>1502.85</v>
      </c>
      <c r="M905" s="10">
        <v>2005.15</v>
      </c>
      <c r="N905" s="8" t="s">
        <v>28</v>
      </c>
      <c r="O905" s="8" t="s">
        <v>22</v>
      </c>
      <c r="P905" s="8" t="s">
        <v>29</v>
      </c>
      <c r="Q905" s="3">
        <f t="shared" si="15"/>
        <v>0.57159350057012548</v>
      </c>
      <c r="R905" s="8" t="str" cm="1">
        <f t="array" ref="R905">_xlfn.IFS(Q905&gt;40%,"Alta",Q905&gt;20%,"Média",Q905&lt;20%,"Baixa")</f>
        <v>Alta</v>
      </c>
    </row>
    <row r="906" spans="1:18" x14ac:dyDescent="0.25">
      <c r="A906" s="5">
        <v>651</v>
      </c>
      <c r="B906" s="6">
        <v>45678</v>
      </c>
      <c r="C906" s="8" t="s">
        <v>16</v>
      </c>
      <c r="D906" s="8" t="s">
        <v>30</v>
      </c>
      <c r="E906" s="8" t="s">
        <v>41</v>
      </c>
      <c r="F906" s="5">
        <v>6313</v>
      </c>
      <c r="G906" s="8" t="s">
        <v>26</v>
      </c>
      <c r="H906" s="8" t="s">
        <v>43</v>
      </c>
      <c r="I906" s="5">
        <v>2</v>
      </c>
      <c r="J906" s="10">
        <v>1751</v>
      </c>
      <c r="K906" s="10">
        <v>3502</v>
      </c>
      <c r="L906" s="10">
        <v>2073.11</v>
      </c>
      <c r="M906" s="10">
        <v>1428.89</v>
      </c>
      <c r="N906" s="8" t="s">
        <v>28</v>
      </c>
      <c r="O906" s="8" t="s">
        <v>33</v>
      </c>
      <c r="P906" s="8" t="s">
        <v>29</v>
      </c>
      <c r="Q906" s="3">
        <f t="shared" si="15"/>
        <v>0.40802113078241009</v>
      </c>
      <c r="R906" s="8" t="str" cm="1">
        <f t="array" ref="R906">_xlfn.IFS(Q906&gt;40%,"Alta",Q906&gt;20%,"Média",Q906&lt;20%,"Baixa")</f>
        <v>Alta</v>
      </c>
    </row>
    <row r="907" spans="1:18" x14ac:dyDescent="0.25">
      <c r="A907" s="5">
        <v>388</v>
      </c>
      <c r="B907" s="6">
        <v>45798</v>
      </c>
      <c r="C907" s="8" t="s">
        <v>24</v>
      </c>
      <c r="D907" s="8" t="s">
        <v>30</v>
      </c>
      <c r="E907" s="8" t="s">
        <v>41</v>
      </c>
      <c r="F907" s="5">
        <v>3120</v>
      </c>
      <c r="G907" s="8" t="s">
        <v>26</v>
      </c>
      <c r="H907" s="8" t="s">
        <v>38</v>
      </c>
      <c r="I907" s="5">
        <v>1</v>
      </c>
      <c r="J907" s="10">
        <v>3457</v>
      </c>
      <c r="K907" s="10">
        <v>3457</v>
      </c>
      <c r="L907" s="10">
        <v>1547.46</v>
      </c>
      <c r="M907" s="10">
        <v>1909.54</v>
      </c>
      <c r="N907" s="8" t="s">
        <v>28</v>
      </c>
      <c r="O907" s="8" t="s">
        <v>22</v>
      </c>
      <c r="P907" s="8" t="s">
        <v>23</v>
      </c>
      <c r="Q907" s="3">
        <f t="shared" si="15"/>
        <v>0.55236910616141166</v>
      </c>
      <c r="R907" s="8" t="str" cm="1">
        <f t="array" ref="R907">_xlfn.IFS(Q907&gt;40%,"Alta",Q907&gt;20%,"Média",Q907&lt;20%,"Baixa")</f>
        <v>Alta</v>
      </c>
    </row>
    <row r="908" spans="1:18" x14ac:dyDescent="0.25">
      <c r="A908" s="5">
        <v>780</v>
      </c>
      <c r="B908" s="6">
        <v>45783</v>
      </c>
      <c r="C908" s="8" t="s">
        <v>47</v>
      </c>
      <c r="D908" s="8" t="s">
        <v>42</v>
      </c>
      <c r="E908" s="8" t="s">
        <v>37</v>
      </c>
      <c r="F908" s="5">
        <v>7742</v>
      </c>
      <c r="G908" s="8" t="s">
        <v>26</v>
      </c>
      <c r="H908" s="8" t="s">
        <v>20</v>
      </c>
      <c r="I908" s="5">
        <v>1</v>
      </c>
      <c r="J908" s="10">
        <v>3436</v>
      </c>
      <c r="K908" s="10">
        <v>3436</v>
      </c>
      <c r="L908" s="10">
        <v>1408.25</v>
      </c>
      <c r="M908" s="10">
        <v>2027.75</v>
      </c>
      <c r="N908" s="8" t="s">
        <v>28</v>
      </c>
      <c r="O908" s="8" t="s">
        <v>33</v>
      </c>
      <c r="P908" s="8" t="s">
        <v>40</v>
      </c>
      <c r="Q908" s="3">
        <f t="shared" si="15"/>
        <v>0.59014842840512227</v>
      </c>
      <c r="R908" s="8" t="str" cm="1">
        <f t="array" ref="R908">_xlfn.IFS(Q908&gt;40%,"Alta",Q908&gt;20%,"Média",Q908&lt;20%,"Baixa")</f>
        <v>Alta</v>
      </c>
    </row>
    <row r="909" spans="1:18" x14ac:dyDescent="0.25">
      <c r="A909" s="5">
        <v>321</v>
      </c>
      <c r="B909" s="6">
        <v>45660</v>
      </c>
      <c r="C909" s="8" t="s">
        <v>24</v>
      </c>
      <c r="D909" s="8" t="s">
        <v>45</v>
      </c>
      <c r="E909" s="8" t="s">
        <v>41</v>
      </c>
      <c r="F909" s="5">
        <v>4866</v>
      </c>
      <c r="G909" s="8" t="s">
        <v>19</v>
      </c>
      <c r="H909" s="8" t="s">
        <v>20</v>
      </c>
      <c r="I909" s="5">
        <v>13</v>
      </c>
      <c r="J909" s="10">
        <v>263</v>
      </c>
      <c r="K909" s="10">
        <v>3419</v>
      </c>
      <c r="L909" s="10">
        <v>1900.75</v>
      </c>
      <c r="M909" s="10">
        <v>1518.25</v>
      </c>
      <c r="N909" s="8" t="s">
        <v>21</v>
      </c>
      <c r="O909" s="8" t="s">
        <v>33</v>
      </c>
      <c r="P909" s="8" t="s">
        <v>44</v>
      </c>
      <c r="Q909" s="3">
        <f t="shared" si="15"/>
        <v>0.44406259140099447</v>
      </c>
      <c r="R909" s="8" t="str" cm="1">
        <f t="array" ref="R909">_xlfn.IFS(Q909&gt;40%,"Alta",Q909&gt;20%,"Média",Q909&lt;20%,"Baixa")</f>
        <v>Alta</v>
      </c>
    </row>
    <row r="910" spans="1:18" x14ac:dyDescent="0.25">
      <c r="A910" s="5">
        <v>611</v>
      </c>
      <c r="B910" s="6">
        <v>45823</v>
      </c>
      <c r="C910" s="8" t="s">
        <v>16</v>
      </c>
      <c r="D910" s="8" t="s">
        <v>30</v>
      </c>
      <c r="E910" s="8" t="s">
        <v>25</v>
      </c>
      <c r="F910" s="5">
        <v>8859</v>
      </c>
      <c r="G910" s="8" t="s">
        <v>36</v>
      </c>
      <c r="H910" s="8" t="s">
        <v>31</v>
      </c>
      <c r="I910" s="5">
        <v>2</v>
      </c>
      <c r="J910" s="10">
        <v>1701</v>
      </c>
      <c r="K910" s="10">
        <v>3402</v>
      </c>
      <c r="L910" s="10">
        <v>1463.48</v>
      </c>
      <c r="M910" s="10">
        <v>1938.52</v>
      </c>
      <c r="N910" s="8" t="s">
        <v>32</v>
      </c>
      <c r="O910" s="8" t="s">
        <v>22</v>
      </c>
      <c r="P910" s="8" t="s">
        <v>29</v>
      </c>
      <c r="Q910" s="3">
        <f t="shared" si="15"/>
        <v>0.56981775426219872</v>
      </c>
      <c r="R910" s="8" t="str" cm="1">
        <f t="array" ref="R910">_xlfn.IFS(Q910&gt;40%,"Alta",Q910&gt;20%,"Média",Q910&lt;20%,"Baixa")</f>
        <v>Alta</v>
      </c>
    </row>
    <row r="911" spans="1:18" x14ac:dyDescent="0.25">
      <c r="A911" s="5">
        <v>983</v>
      </c>
      <c r="B911" s="6">
        <v>45698</v>
      </c>
      <c r="C911" s="8" t="s">
        <v>16</v>
      </c>
      <c r="D911" s="8" t="s">
        <v>30</v>
      </c>
      <c r="E911" s="8" t="s">
        <v>25</v>
      </c>
      <c r="F911" s="5">
        <v>1203</v>
      </c>
      <c r="G911" s="8" t="s">
        <v>19</v>
      </c>
      <c r="H911" s="8" t="s">
        <v>43</v>
      </c>
      <c r="I911" s="5">
        <v>3</v>
      </c>
      <c r="J911" s="10">
        <v>1127</v>
      </c>
      <c r="K911" s="10">
        <v>3381</v>
      </c>
      <c r="L911" s="10">
        <v>2070</v>
      </c>
      <c r="M911" s="10">
        <v>1311</v>
      </c>
      <c r="N911" s="8" t="s">
        <v>21</v>
      </c>
      <c r="O911" s="8" t="s">
        <v>22</v>
      </c>
      <c r="P911" s="8" t="s">
        <v>44</v>
      </c>
      <c r="Q911" s="3">
        <f t="shared" si="15"/>
        <v>0.38775510204081631</v>
      </c>
      <c r="R911" s="8" t="str" cm="1">
        <f t="array" ref="R911">_xlfn.IFS(Q911&gt;40%,"Alta",Q911&gt;20%,"Média",Q911&lt;20%,"Baixa")</f>
        <v>Média</v>
      </c>
    </row>
    <row r="912" spans="1:18" x14ac:dyDescent="0.25">
      <c r="A912" s="5">
        <v>642</v>
      </c>
      <c r="B912" s="6">
        <v>45690</v>
      </c>
      <c r="C912" s="8" t="s">
        <v>47</v>
      </c>
      <c r="D912" s="8" t="s">
        <v>17</v>
      </c>
      <c r="E912" s="8" t="s">
        <v>18</v>
      </c>
      <c r="F912" s="5">
        <v>8907</v>
      </c>
      <c r="G912" s="8" t="s">
        <v>26</v>
      </c>
      <c r="H912" s="8" t="s">
        <v>43</v>
      </c>
      <c r="I912" s="5">
        <v>4</v>
      </c>
      <c r="J912" s="10">
        <v>828</v>
      </c>
      <c r="K912" s="10">
        <v>3312</v>
      </c>
      <c r="L912" s="10">
        <v>2300.1799999999998</v>
      </c>
      <c r="M912" s="10">
        <v>1011.82</v>
      </c>
      <c r="N912" s="8" t="s">
        <v>28</v>
      </c>
      <c r="O912" s="8" t="s">
        <v>22</v>
      </c>
      <c r="P912" s="8" t="s">
        <v>46</v>
      </c>
      <c r="Q912" s="3">
        <f t="shared" si="15"/>
        <v>0.30550120772946859</v>
      </c>
      <c r="R912" s="8" t="str" cm="1">
        <f t="array" ref="R912">_xlfn.IFS(Q912&gt;40%,"Alta",Q912&gt;20%,"Média",Q912&lt;20%,"Baixa")</f>
        <v>Média</v>
      </c>
    </row>
    <row r="913" spans="1:18" x14ac:dyDescent="0.25">
      <c r="A913" s="5">
        <v>976</v>
      </c>
      <c r="B913" s="6">
        <v>45713</v>
      </c>
      <c r="C913" s="8" t="s">
        <v>34</v>
      </c>
      <c r="D913" s="8" t="s">
        <v>42</v>
      </c>
      <c r="E913" s="8" t="s">
        <v>25</v>
      </c>
      <c r="F913" s="5">
        <v>6117</v>
      </c>
      <c r="G913" s="8" t="s">
        <v>36</v>
      </c>
      <c r="H913" s="8" t="s">
        <v>43</v>
      </c>
      <c r="I913" s="5">
        <v>2</v>
      </c>
      <c r="J913" s="10">
        <v>1655</v>
      </c>
      <c r="K913" s="10">
        <v>3310</v>
      </c>
      <c r="L913" s="10">
        <v>2080.59</v>
      </c>
      <c r="M913" s="10">
        <v>1229.4100000000001</v>
      </c>
      <c r="N913" s="8" t="s">
        <v>28</v>
      </c>
      <c r="O913" s="8" t="s">
        <v>39</v>
      </c>
      <c r="P913" s="8" t="s">
        <v>23</v>
      </c>
      <c r="Q913" s="3">
        <f t="shared" si="15"/>
        <v>0.37142296072507558</v>
      </c>
      <c r="R913" s="8" t="str" cm="1">
        <f t="array" ref="R913">_xlfn.IFS(Q913&gt;40%,"Alta",Q913&gt;20%,"Média",Q913&lt;20%,"Baixa")</f>
        <v>Média</v>
      </c>
    </row>
    <row r="914" spans="1:18" x14ac:dyDescent="0.25">
      <c r="A914" s="5">
        <v>461</v>
      </c>
      <c r="B914" s="6">
        <v>45820</v>
      </c>
      <c r="C914" s="8" t="s">
        <v>16</v>
      </c>
      <c r="D914" s="8" t="s">
        <v>45</v>
      </c>
      <c r="E914" s="8" t="s">
        <v>18</v>
      </c>
      <c r="F914" s="5">
        <v>3799</v>
      </c>
      <c r="G914" s="8" t="s">
        <v>19</v>
      </c>
      <c r="H914" s="8" t="s">
        <v>43</v>
      </c>
      <c r="I914" s="5">
        <v>6</v>
      </c>
      <c r="J914" s="10">
        <v>544</v>
      </c>
      <c r="K914" s="10">
        <v>3264</v>
      </c>
      <c r="L914" s="10">
        <v>1486.64</v>
      </c>
      <c r="M914" s="10">
        <v>1777.36</v>
      </c>
      <c r="N914" s="8" t="s">
        <v>21</v>
      </c>
      <c r="O914" s="8" t="s">
        <v>33</v>
      </c>
      <c r="P914" s="8" t="s">
        <v>23</v>
      </c>
      <c r="Q914" s="3">
        <f t="shared" si="15"/>
        <v>0.54453431372549022</v>
      </c>
      <c r="R914" s="8" t="str" cm="1">
        <f t="array" ref="R914">_xlfn.IFS(Q914&gt;40%,"Alta",Q914&gt;20%,"Média",Q914&lt;20%,"Baixa")</f>
        <v>Alta</v>
      </c>
    </row>
    <row r="915" spans="1:18" x14ac:dyDescent="0.25">
      <c r="A915" s="5">
        <v>93</v>
      </c>
      <c r="B915" s="6">
        <v>45715</v>
      </c>
      <c r="C915" s="8" t="s">
        <v>16</v>
      </c>
      <c r="D915" s="8" t="s">
        <v>17</v>
      </c>
      <c r="E915" s="8" t="s">
        <v>25</v>
      </c>
      <c r="F915" s="5">
        <v>3463</v>
      </c>
      <c r="G915" s="8" t="s">
        <v>36</v>
      </c>
      <c r="H915" s="8" t="s">
        <v>27</v>
      </c>
      <c r="I915" s="5">
        <v>8</v>
      </c>
      <c r="J915" s="10">
        <v>404</v>
      </c>
      <c r="K915" s="10">
        <v>3232</v>
      </c>
      <c r="L915" s="10">
        <v>2052.0300000000002</v>
      </c>
      <c r="M915" s="10">
        <v>1179.97</v>
      </c>
      <c r="N915" s="8" t="s">
        <v>21</v>
      </c>
      <c r="O915" s="8" t="s">
        <v>39</v>
      </c>
      <c r="P915" s="8" t="s">
        <v>44</v>
      </c>
      <c r="Q915" s="3">
        <f t="shared" si="15"/>
        <v>0.36508972772277226</v>
      </c>
      <c r="R915" s="8" t="str" cm="1">
        <f t="array" ref="R915">_xlfn.IFS(Q915&gt;40%,"Alta",Q915&gt;20%,"Média",Q915&lt;20%,"Baixa")</f>
        <v>Média</v>
      </c>
    </row>
    <row r="916" spans="1:18" x14ac:dyDescent="0.25">
      <c r="A916" s="5">
        <v>854</v>
      </c>
      <c r="B916" s="6">
        <v>45661</v>
      </c>
      <c r="C916" s="8" t="s">
        <v>47</v>
      </c>
      <c r="D916" s="8" t="s">
        <v>45</v>
      </c>
      <c r="E916" s="8" t="s">
        <v>37</v>
      </c>
      <c r="F916" s="5">
        <v>5544</v>
      </c>
      <c r="G916" s="8" t="s">
        <v>26</v>
      </c>
      <c r="H916" s="8" t="s">
        <v>27</v>
      </c>
      <c r="I916" s="5">
        <v>1</v>
      </c>
      <c r="J916" s="10">
        <v>3175</v>
      </c>
      <c r="K916" s="10">
        <v>3175</v>
      </c>
      <c r="L916" s="10">
        <v>2018.17</v>
      </c>
      <c r="M916" s="10">
        <v>1156.83</v>
      </c>
      <c r="N916" s="8" t="s">
        <v>28</v>
      </c>
      <c r="O916" s="8" t="s">
        <v>22</v>
      </c>
      <c r="P916" s="8" t="s">
        <v>44</v>
      </c>
      <c r="Q916" s="3">
        <f t="shared" si="15"/>
        <v>0.36435590551181102</v>
      </c>
      <c r="R916" s="8" t="str" cm="1">
        <f t="array" ref="R916">_xlfn.IFS(Q916&gt;40%,"Alta",Q916&gt;20%,"Média",Q916&lt;20%,"Baixa")</f>
        <v>Média</v>
      </c>
    </row>
    <row r="917" spans="1:18" x14ac:dyDescent="0.25">
      <c r="A917" s="5">
        <v>797</v>
      </c>
      <c r="B917" s="6">
        <v>45664</v>
      </c>
      <c r="C917" s="8" t="s">
        <v>47</v>
      </c>
      <c r="D917" s="8" t="s">
        <v>30</v>
      </c>
      <c r="E917" s="8" t="s">
        <v>25</v>
      </c>
      <c r="F917" s="5">
        <v>7258</v>
      </c>
      <c r="G917" s="8" t="s">
        <v>26</v>
      </c>
      <c r="H917" s="8" t="s">
        <v>43</v>
      </c>
      <c r="I917" s="5">
        <v>2</v>
      </c>
      <c r="J917" s="10">
        <v>1576</v>
      </c>
      <c r="K917" s="10">
        <v>3152</v>
      </c>
      <c r="L917" s="10">
        <v>1306.8</v>
      </c>
      <c r="M917" s="10">
        <v>1845.2</v>
      </c>
      <c r="N917" s="8" t="s">
        <v>28</v>
      </c>
      <c r="O917" s="8" t="s">
        <v>39</v>
      </c>
      <c r="P917" s="8" t="s">
        <v>46</v>
      </c>
      <c r="Q917" s="3">
        <f t="shared" si="15"/>
        <v>0.58540609137055843</v>
      </c>
      <c r="R917" s="8" t="str" cm="1">
        <f t="array" ref="R917">_xlfn.IFS(Q917&gt;40%,"Alta",Q917&gt;20%,"Média",Q917&lt;20%,"Baixa")</f>
        <v>Alta</v>
      </c>
    </row>
    <row r="918" spans="1:18" x14ac:dyDescent="0.25">
      <c r="A918" s="5">
        <v>823</v>
      </c>
      <c r="B918" s="6">
        <v>45718</v>
      </c>
      <c r="C918" s="8" t="s">
        <v>16</v>
      </c>
      <c r="D918" s="8" t="s">
        <v>35</v>
      </c>
      <c r="E918" s="8" t="s">
        <v>41</v>
      </c>
      <c r="F918" s="5">
        <v>5420</v>
      </c>
      <c r="G918" s="8" t="s">
        <v>26</v>
      </c>
      <c r="H918" s="8" t="s">
        <v>31</v>
      </c>
      <c r="I918" s="5">
        <v>4</v>
      </c>
      <c r="J918" s="10">
        <v>784</v>
      </c>
      <c r="K918" s="10">
        <v>3136</v>
      </c>
      <c r="L918" s="10">
        <v>1730.83</v>
      </c>
      <c r="M918" s="10">
        <v>1405.17</v>
      </c>
      <c r="N918" s="8" t="s">
        <v>21</v>
      </c>
      <c r="O918" s="8" t="s">
        <v>22</v>
      </c>
      <c r="P918" s="8" t="s">
        <v>40</v>
      </c>
      <c r="Q918" s="3">
        <f t="shared" si="15"/>
        <v>0.44807716836734696</v>
      </c>
      <c r="R918" s="8" t="str" cm="1">
        <f t="array" ref="R918">_xlfn.IFS(Q918&gt;40%,"Alta",Q918&gt;20%,"Média",Q918&lt;20%,"Baixa")</f>
        <v>Alta</v>
      </c>
    </row>
    <row r="919" spans="1:18" x14ac:dyDescent="0.25">
      <c r="A919" s="5">
        <v>90</v>
      </c>
      <c r="B919" s="6">
        <v>45696</v>
      </c>
      <c r="C919" s="8" t="s">
        <v>24</v>
      </c>
      <c r="D919" s="8" t="s">
        <v>17</v>
      </c>
      <c r="E919" s="8" t="s">
        <v>37</v>
      </c>
      <c r="F919" s="5">
        <v>3313</v>
      </c>
      <c r="G919" s="8" t="s">
        <v>19</v>
      </c>
      <c r="H919" s="8" t="s">
        <v>38</v>
      </c>
      <c r="I919" s="5">
        <v>14</v>
      </c>
      <c r="J919" s="10">
        <v>221</v>
      </c>
      <c r="K919" s="10">
        <v>3094</v>
      </c>
      <c r="L919" s="10">
        <v>1969.87</v>
      </c>
      <c r="M919" s="10">
        <v>1124.1300000000001</v>
      </c>
      <c r="N919" s="8" t="s">
        <v>32</v>
      </c>
      <c r="O919" s="8" t="s">
        <v>22</v>
      </c>
      <c r="P919" s="8" t="s">
        <v>29</v>
      </c>
      <c r="Q919" s="3">
        <f t="shared" si="15"/>
        <v>0.36332579185520364</v>
      </c>
      <c r="R919" s="8" t="str" cm="1">
        <f t="array" ref="R919">_xlfn.IFS(Q919&gt;40%,"Alta",Q919&gt;20%,"Média",Q919&lt;20%,"Baixa")</f>
        <v>Média</v>
      </c>
    </row>
    <row r="920" spans="1:18" x14ac:dyDescent="0.25">
      <c r="A920" s="5">
        <v>963</v>
      </c>
      <c r="B920" s="6">
        <v>45826</v>
      </c>
      <c r="C920" s="8" t="s">
        <v>16</v>
      </c>
      <c r="D920" s="8" t="s">
        <v>17</v>
      </c>
      <c r="E920" s="8" t="s">
        <v>25</v>
      </c>
      <c r="F920" s="5">
        <v>1758</v>
      </c>
      <c r="G920" s="8" t="s">
        <v>26</v>
      </c>
      <c r="H920" s="8" t="s">
        <v>20</v>
      </c>
      <c r="I920" s="5">
        <v>3</v>
      </c>
      <c r="J920" s="10">
        <v>1028</v>
      </c>
      <c r="K920" s="10">
        <v>3084</v>
      </c>
      <c r="L920" s="10">
        <v>1276.68</v>
      </c>
      <c r="M920" s="10">
        <v>1807.32</v>
      </c>
      <c r="N920" s="8" t="s">
        <v>21</v>
      </c>
      <c r="O920" s="8" t="s">
        <v>22</v>
      </c>
      <c r="P920" s="8" t="s">
        <v>46</v>
      </c>
      <c r="Q920" s="3">
        <f t="shared" si="15"/>
        <v>0.5860311284046692</v>
      </c>
      <c r="R920" s="8" t="str" cm="1">
        <f t="array" ref="R920">_xlfn.IFS(Q920&gt;40%,"Alta",Q920&gt;20%,"Média",Q920&lt;20%,"Baixa")</f>
        <v>Alta</v>
      </c>
    </row>
    <row r="921" spans="1:18" x14ac:dyDescent="0.25">
      <c r="A921" s="5">
        <v>445</v>
      </c>
      <c r="B921" s="6">
        <v>45825</v>
      </c>
      <c r="C921" s="8" t="s">
        <v>24</v>
      </c>
      <c r="D921" s="8" t="s">
        <v>30</v>
      </c>
      <c r="E921" s="8" t="s">
        <v>37</v>
      </c>
      <c r="F921" s="5">
        <v>6213</v>
      </c>
      <c r="G921" s="8" t="s">
        <v>19</v>
      </c>
      <c r="H921" s="8" t="s">
        <v>20</v>
      </c>
      <c r="I921" s="5">
        <v>3</v>
      </c>
      <c r="J921" s="10">
        <v>1022</v>
      </c>
      <c r="K921" s="10">
        <v>3066</v>
      </c>
      <c r="L921" s="10">
        <v>1775.57</v>
      </c>
      <c r="M921" s="10">
        <v>1290.43</v>
      </c>
      <c r="N921" s="8" t="s">
        <v>28</v>
      </c>
      <c r="O921" s="8" t="s">
        <v>39</v>
      </c>
      <c r="P921" s="8" t="s">
        <v>46</v>
      </c>
      <c r="Q921" s="3">
        <f t="shared" si="15"/>
        <v>0.42088388780169605</v>
      </c>
      <c r="R921" s="8" t="str" cm="1">
        <f t="array" ref="R921">_xlfn.IFS(Q921&gt;40%,"Alta",Q921&gt;20%,"Média",Q921&lt;20%,"Baixa")</f>
        <v>Alta</v>
      </c>
    </row>
    <row r="922" spans="1:18" x14ac:dyDescent="0.25">
      <c r="A922" s="5">
        <v>802</v>
      </c>
      <c r="B922" s="6">
        <v>45768</v>
      </c>
      <c r="C922" s="8" t="s">
        <v>24</v>
      </c>
      <c r="D922" s="8" t="s">
        <v>30</v>
      </c>
      <c r="E922" s="8" t="s">
        <v>41</v>
      </c>
      <c r="F922" s="5">
        <v>8627</v>
      </c>
      <c r="G922" s="8" t="s">
        <v>19</v>
      </c>
      <c r="H922" s="8" t="s">
        <v>31</v>
      </c>
      <c r="I922" s="5">
        <v>1</v>
      </c>
      <c r="J922" s="10">
        <v>3012</v>
      </c>
      <c r="K922" s="10">
        <v>3012</v>
      </c>
      <c r="L922" s="10">
        <v>1879.32</v>
      </c>
      <c r="M922" s="10">
        <v>1132.68</v>
      </c>
      <c r="N922" s="8" t="s">
        <v>21</v>
      </c>
      <c r="O922" s="8" t="s">
        <v>39</v>
      </c>
      <c r="P922" s="8" t="s">
        <v>23</v>
      </c>
      <c r="Q922" s="3">
        <f t="shared" si="15"/>
        <v>0.3760557768924303</v>
      </c>
      <c r="R922" s="8" t="str" cm="1">
        <f t="array" ref="R922">_xlfn.IFS(Q922&gt;40%,"Alta",Q922&gt;20%,"Média",Q922&lt;20%,"Baixa")</f>
        <v>Média</v>
      </c>
    </row>
    <row r="923" spans="1:18" x14ac:dyDescent="0.25">
      <c r="A923" s="5">
        <v>460</v>
      </c>
      <c r="B923" s="6">
        <v>45734</v>
      </c>
      <c r="C923" s="8" t="s">
        <v>47</v>
      </c>
      <c r="D923" s="8" t="s">
        <v>30</v>
      </c>
      <c r="E923" s="8" t="s">
        <v>41</v>
      </c>
      <c r="F923" s="5">
        <v>3139</v>
      </c>
      <c r="G923" s="8" t="s">
        <v>26</v>
      </c>
      <c r="H923" s="8" t="s">
        <v>43</v>
      </c>
      <c r="I923" s="5">
        <v>3</v>
      </c>
      <c r="J923" s="10">
        <v>999</v>
      </c>
      <c r="K923" s="10">
        <v>2997</v>
      </c>
      <c r="L923" s="10">
        <v>1575.27</v>
      </c>
      <c r="M923" s="10">
        <v>1421.73</v>
      </c>
      <c r="N923" s="8" t="s">
        <v>21</v>
      </c>
      <c r="O923" s="8" t="s">
        <v>33</v>
      </c>
      <c r="P923" s="8" t="s">
        <v>44</v>
      </c>
      <c r="Q923" s="3">
        <f t="shared" si="15"/>
        <v>0.47438438438438441</v>
      </c>
      <c r="R923" s="8" t="str" cm="1">
        <f t="array" ref="R923">_xlfn.IFS(Q923&gt;40%,"Alta",Q923&gt;20%,"Média",Q923&lt;20%,"Baixa")</f>
        <v>Alta</v>
      </c>
    </row>
    <row r="924" spans="1:18" x14ac:dyDescent="0.25">
      <c r="A924" s="5">
        <v>308</v>
      </c>
      <c r="B924" s="6">
        <v>45659</v>
      </c>
      <c r="C924" s="8" t="s">
        <v>24</v>
      </c>
      <c r="D924" s="8" t="s">
        <v>30</v>
      </c>
      <c r="E924" s="8" t="s">
        <v>37</v>
      </c>
      <c r="F924" s="5">
        <v>8128</v>
      </c>
      <c r="G924" s="8" t="s">
        <v>36</v>
      </c>
      <c r="H924" s="8" t="s">
        <v>27</v>
      </c>
      <c r="I924" s="5">
        <v>2</v>
      </c>
      <c r="J924" s="10">
        <v>1433</v>
      </c>
      <c r="K924" s="10">
        <v>2866</v>
      </c>
      <c r="L924" s="10">
        <v>1291.32</v>
      </c>
      <c r="M924" s="10">
        <v>1574.68</v>
      </c>
      <c r="N924" s="8" t="s">
        <v>21</v>
      </c>
      <c r="O924" s="8" t="s">
        <v>33</v>
      </c>
      <c r="P924" s="8" t="s">
        <v>44</v>
      </c>
      <c r="Q924" s="3">
        <f t="shared" si="15"/>
        <v>0.54943475226796934</v>
      </c>
      <c r="R924" s="8" t="str" cm="1">
        <f t="array" ref="R924">_xlfn.IFS(Q924&gt;40%,"Alta",Q924&gt;20%,"Média",Q924&lt;20%,"Baixa")</f>
        <v>Alta</v>
      </c>
    </row>
    <row r="925" spans="1:18" x14ac:dyDescent="0.25">
      <c r="A925" s="5">
        <v>215</v>
      </c>
      <c r="B925" s="6">
        <v>45796</v>
      </c>
      <c r="C925" s="8" t="s">
        <v>34</v>
      </c>
      <c r="D925" s="8" t="s">
        <v>17</v>
      </c>
      <c r="E925" s="8" t="s">
        <v>37</v>
      </c>
      <c r="F925" s="5">
        <v>3784</v>
      </c>
      <c r="G925" s="8" t="s">
        <v>36</v>
      </c>
      <c r="H925" s="8" t="s">
        <v>31</v>
      </c>
      <c r="I925" s="5">
        <v>2</v>
      </c>
      <c r="J925" s="10">
        <v>1431</v>
      </c>
      <c r="K925" s="10">
        <v>2862</v>
      </c>
      <c r="L925" s="10">
        <v>1556.63</v>
      </c>
      <c r="M925" s="10">
        <v>1305.3699999999999</v>
      </c>
      <c r="N925" s="8" t="s">
        <v>32</v>
      </c>
      <c r="O925" s="8" t="s">
        <v>39</v>
      </c>
      <c r="P925" s="8" t="s">
        <v>23</v>
      </c>
      <c r="Q925" s="3">
        <f t="shared" si="15"/>
        <v>0.45610412299091541</v>
      </c>
      <c r="R925" s="8" t="str" cm="1">
        <f t="array" ref="R925">_xlfn.IFS(Q925&gt;40%,"Alta",Q925&gt;20%,"Média",Q925&lt;20%,"Baixa")</f>
        <v>Alta</v>
      </c>
    </row>
    <row r="926" spans="1:18" x14ac:dyDescent="0.25">
      <c r="A926" s="5">
        <v>563</v>
      </c>
      <c r="B926" s="6">
        <v>45714</v>
      </c>
      <c r="C926" s="8" t="s">
        <v>24</v>
      </c>
      <c r="D926" s="8" t="s">
        <v>42</v>
      </c>
      <c r="E926" s="8" t="s">
        <v>25</v>
      </c>
      <c r="F926" s="5">
        <v>8158</v>
      </c>
      <c r="G926" s="8" t="s">
        <v>36</v>
      </c>
      <c r="H926" s="8" t="s">
        <v>31</v>
      </c>
      <c r="I926" s="5">
        <v>1</v>
      </c>
      <c r="J926" s="10">
        <v>2842</v>
      </c>
      <c r="K926" s="10">
        <v>2842</v>
      </c>
      <c r="L926" s="10">
        <v>1950.67</v>
      </c>
      <c r="M926" s="10">
        <v>891.33</v>
      </c>
      <c r="N926" s="8" t="s">
        <v>32</v>
      </c>
      <c r="O926" s="8" t="s">
        <v>33</v>
      </c>
      <c r="P926" s="8" t="s">
        <v>29</v>
      </c>
      <c r="Q926" s="3">
        <f t="shared" si="15"/>
        <v>0.31362772695285013</v>
      </c>
      <c r="R926" s="8" t="str" cm="1">
        <f t="array" ref="R926">_xlfn.IFS(Q926&gt;40%,"Alta",Q926&gt;20%,"Média",Q926&lt;20%,"Baixa")</f>
        <v>Média</v>
      </c>
    </row>
    <row r="927" spans="1:18" x14ac:dyDescent="0.25">
      <c r="A927" s="5">
        <v>598</v>
      </c>
      <c r="B927" s="6">
        <v>45739</v>
      </c>
      <c r="C927" s="8" t="s">
        <v>47</v>
      </c>
      <c r="D927" s="8" t="s">
        <v>30</v>
      </c>
      <c r="E927" s="8" t="s">
        <v>18</v>
      </c>
      <c r="F927" s="5">
        <v>6447</v>
      </c>
      <c r="G927" s="8" t="s">
        <v>36</v>
      </c>
      <c r="H927" s="8" t="s">
        <v>38</v>
      </c>
      <c r="I927" s="5">
        <v>6</v>
      </c>
      <c r="J927" s="10">
        <v>473</v>
      </c>
      <c r="K927" s="10">
        <v>2838</v>
      </c>
      <c r="L927" s="10">
        <v>1567.69</v>
      </c>
      <c r="M927" s="10">
        <v>1270.31</v>
      </c>
      <c r="N927" s="8" t="s">
        <v>28</v>
      </c>
      <c r="O927" s="8" t="s">
        <v>39</v>
      </c>
      <c r="P927" s="8" t="s">
        <v>29</v>
      </c>
      <c r="Q927" s="3">
        <f t="shared" si="15"/>
        <v>0.44760747004933049</v>
      </c>
      <c r="R927" s="8" t="str" cm="1">
        <f t="array" ref="R927">_xlfn.IFS(Q927&gt;40%,"Alta",Q927&gt;20%,"Média",Q927&lt;20%,"Baixa")</f>
        <v>Alta</v>
      </c>
    </row>
    <row r="928" spans="1:18" x14ac:dyDescent="0.25">
      <c r="A928" s="5">
        <v>166</v>
      </c>
      <c r="B928" s="6">
        <v>45680</v>
      </c>
      <c r="C928" s="8" t="s">
        <v>47</v>
      </c>
      <c r="D928" s="8" t="s">
        <v>17</v>
      </c>
      <c r="E928" s="8" t="s">
        <v>37</v>
      </c>
      <c r="F928" s="5">
        <v>3566</v>
      </c>
      <c r="G928" s="8" t="s">
        <v>19</v>
      </c>
      <c r="H928" s="8" t="s">
        <v>20</v>
      </c>
      <c r="I928" s="5">
        <v>11</v>
      </c>
      <c r="J928" s="10">
        <v>255</v>
      </c>
      <c r="K928" s="10">
        <v>2805</v>
      </c>
      <c r="L928" s="10">
        <v>1395.29</v>
      </c>
      <c r="M928" s="10">
        <v>1409.71</v>
      </c>
      <c r="N928" s="8" t="s">
        <v>21</v>
      </c>
      <c r="O928" s="8" t="s">
        <v>22</v>
      </c>
      <c r="P928" s="8" t="s">
        <v>29</v>
      </c>
      <c r="Q928" s="3">
        <f t="shared" si="15"/>
        <v>0.50257040998217473</v>
      </c>
      <c r="R928" s="8" t="str" cm="1">
        <f t="array" ref="R928">_xlfn.IFS(Q928&gt;40%,"Alta",Q928&gt;20%,"Média",Q928&lt;20%,"Baixa")</f>
        <v>Alta</v>
      </c>
    </row>
    <row r="929" spans="1:18" x14ac:dyDescent="0.25">
      <c r="A929" s="5">
        <v>160</v>
      </c>
      <c r="B929" s="6">
        <v>45762</v>
      </c>
      <c r="C929" s="8" t="s">
        <v>34</v>
      </c>
      <c r="D929" s="8" t="s">
        <v>30</v>
      </c>
      <c r="E929" s="8" t="s">
        <v>37</v>
      </c>
      <c r="F929" s="5">
        <v>9013</v>
      </c>
      <c r="G929" s="8" t="s">
        <v>19</v>
      </c>
      <c r="H929" s="8" t="s">
        <v>20</v>
      </c>
      <c r="I929" s="5">
        <v>3</v>
      </c>
      <c r="J929" s="10">
        <v>931</v>
      </c>
      <c r="K929" s="10">
        <v>2793</v>
      </c>
      <c r="L929" s="10">
        <v>1998.58</v>
      </c>
      <c r="M929" s="10">
        <v>794.42</v>
      </c>
      <c r="N929" s="8" t="s">
        <v>32</v>
      </c>
      <c r="O929" s="8" t="s">
        <v>39</v>
      </c>
      <c r="P929" s="8" t="s">
        <v>29</v>
      </c>
      <c r="Q929" s="3">
        <f t="shared" si="15"/>
        <v>0.28443250984604368</v>
      </c>
      <c r="R929" s="8" t="str" cm="1">
        <f t="array" ref="R929">_xlfn.IFS(Q929&gt;40%,"Alta",Q929&gt;20%,"Média",Q929&lt;20%,"Baixa")</f>
        <v>Média</v>
      </c>
    </row>
    <row r="930" spans="1:18" x14ac:dyDescent="0.25">
      <c r="A930" s="5">
        <v>690</v>
      </c>
      <c r="B930" s="6">
        <v>45724</v>
      </c>
      <c r="C930" s="8" t="s">
        <v>16</v>
      </c>
      <c r="D930" s="8" t="s">
        <v>30</v>
      </c>
      <c r="E930" s="8" t="s">
        <v>18</v>
      </c>
      <c r="F930" s="5">
        <v>2005</v>
      </c>
      <c r="G930" s="8" t="s">
        <v>36</v>
      </c>
      <c r="H930" s="8" t="s">
        <v>20</v>
      </c>
      <c r="I930" s="5">
        <v>10</v>
      </c>
      <c r="J930" s="10">
        <v>278</v>
      </c>
      <c r="K930" s="10">
        <v>2780</v>
      </c>
      <c r="L930" s="10">
        <v>1319.4</v>
      </c>
      <c r="M930" s="10">
        <v>1460.6</v>
      </c>
      <c r="N930" s="8" t="s">
        <v>32</v>
      </c>
      <c r="O930" s="8" t="s">
        <v>39</v>
      </c>
      <c r="P930" s="8" t="s">
        <v>40</v>
      </c>
      <c r="Q930" s="3">
        <f t="shared" si="15"/>
        <v>0.52539568345323739</v>
      </c>
      <c r="R930" s="8" t="str" cm="1">
        <f t="array" ref="R930">_xlfn.IFS(Q930&gt;40%,"Alta",Q930&gt;20%,"Média",Q930&lt;20%,"Baixa")</f>
        <v>Alta</v>
      </c>
    </row>
    <row r="931" spans="1:18" x14ac:dyDescent="0.25">
      <c r="A931" s="5">
        <v>150</v>
      </c>
      <c r="B931" s="6">
        <v>45680</v>
      </c>
      <c r="C931" s="8" t="s">
        <v>47</v>
      </c>
      <c r="D931" s="8" t="s">
        <v>17</v>
      </c>
      <c r="E931" s="8" t="s">
        <v>37</v>
      </c>
      <c r="F931" s="5">
        <v>8652</v>
      </c>
      <c r="G931" s="8" t="s">
        <v>26</v>
      </c>
      <c r="H931" s="8" t="s">
        <v>43</v>
      </c>
      <c r="I931" s="5">
        <v>6</v>
      </c>
      <c r="J931" s="10">
        <v>462</v>
      </c>
      <c r="K931" s="10">
        <v>2772</v>
      </c>
      <c r="L931" s="10">
        <v>1391.42</v>
      </c>
      <c r="M931" s="10">
        <v>1380.58</v>
      </c>
      <c r="N931" s="8" t="s">
        <v>21</v>
      </c>
      <c r="O931" s="8" t="s">
        <v>22</v>
      </c>
      <c r="P931" s="8" t="s">
        <v>44</v>
      </c>
      <c r="Q931" s="3">
        <f t="shared" si="15"/>
        <v>0.49804473304473301</v>
      </c>
      <c r="R931" s="8" t="str" cm="1">
        <f t="array" ref="R931">_xlfn.IFS(Q931&gt;40%,"Alta",Q931&gt;20%,"Média",Q931&lt;20%,"Baixa")</f>
        <v>Alta</v>
      </c>
    </row>
    <row r="932" spans="1:18" x14ac:dyDescent="0.25">
      <c r="A932" s="5">
        <v>903</v>
      </c>
      <c r="B932" s="6">
        <v>45742</v>
      </c>
      <c r="C932" s="8" t="s">
        <v>47</v>
      </c>
      <c r="D932" s="8" t="s">
        <v>30</v>
      </c>
      <c r="E932" s="8" t="s">
        <v>18</v>
      </c>
      <c r="F932" s="5">
        <v>2310</v>
      </c>
      <c r="G932" s="8" t="s">
        <v>26</v>
      </c>
      <c r="H932" s="8" t="s">
        <v>27</v>
      </c>
      <c r="I932" s="5">
        <v>1</v>
      </c>
      <c r="J932" s="10">
        <v>2766</v>
      </c>
      <c r="K932" s="10">
        <v>2766</v>
      </c>
      <c r="L932" s="10">
        <v>1820.33</v>
      </c>
      <c r="M932" s="10">
        <v>945.67</v>
      </c>
      <c r="N932" s="8" t="s">
        <v>28</v>
      </c>
      <c r="O932" s="8" t="s">
        <v>22</v>
      </c>
      <c r="P932" s="8" t="s">
        <v>44</v>
      </c>
      <c r="Q932" s="3">
        <f t="shared" si="15"/>
        <v>0.34189081706435281</v>
      </c>
      <c r="R932" s="8" t="str" cm="1">
        <f t="array" ref="R932">_xlfn.IFS(Q932&gt;40%,"Alta",Q932&gt;20%,"Média",Q932&lt;20%,"Baixa")</f>
        <v>Média</v>
      </c>
    </row>
    <row r="933" spans="1:18" x14ac:dyDescent="0.25">
      <c r="A933" s="5">
        <v>663</v>
      </c>
      <c r="B933" s="6">
        <v>45784</v>
      </c>
      <c r="C933" s="8" t="s">
        <v>16</v>
      </c>
      <c r="D933" s="8" t="s">
        <v>35</v>
      </c>
      <c r="E933" s="8" t="s">
        <v>25</v>
      </c>
      <c r="F933" s="5">
        <v>5901</v>
      </c>
      <c r="G933" s="8" t="s">
        <v>26</v>
      </c>
      <c r="H933" s="8" t="s">
        <v>27</v>
      </c>
      <c r="I933" s="5">
        <v>6</v>
      </c>
      <c r="J933" s="10">
        <v>460</v>
      </c>
      <c r="K933" s="10">
        <v>2760</v>
      </c>
      <c r="L933" s="10">
        <v>1410.8</v>
      </c>
      <c r="M933" s="10">
        <v>1349.2</v>
      </c>
      <c r="N933" s="8" t="s">
        <v>28</v>
      </c>
      <c r="O933" s="8" t="s">
        <v>33</v>
      </c>
      <c r="P933" s="8" t="s">
        <v>40</v>
      </c>
      <c r="Q933" s="3">
        <f t="shared" si="15"/>
        <v>0.48884057971014494</v>
      </c>
      <c r="R933" s="8" t="str" cm="1">
        <f t="array" ref="R933">_xlfn.IFS(Q933&gt;40%,"Alta",Q933&gt;20%,"Média",Q933&lt;20%,"Baixa")</f>
        <v>Alta</v>
      </c>
    </row>
    <row r="934" spans="1:18" x14ac:dyDescent="0.25">
      <c r="A934" s="5">
        <v>304</v>
      </c>
      <c r="B934" s="6">
        <v>45703</v>
      </c>
      <c r="C934" s="8" t="s">
        <v>24</v>
      </c>
      <c r="D934" s="8" t="s">
        <v>35</v>
      </c>
      <c r="E934" s="8" t="s">
        <v>18</v>
      </c>
      <c r="F934" s="5">
        <v>8939</v>
      </c>
      <c r="G934" s="8" t="s">
        <v>36</v>
      </c>
      <c r="H934" s="8" t="s">
        <v>43</v>
      </c>
      <c r="I934" s="5">
        <v>3</v>
      </c>
      <c r="J934" s="10">
        <v>919</v>
      </c>
      <c r="K934" s="10">
        <v>2757</v>
      </c>
      <c r="L934" s="10">
        <v>1253.73</v>
      </c>
      <c r="M934" s="10">
        <v>1503.27</v>
      </c>
      <c r="N934" s="8" t="s">
        <v>21</v>
      </c>
      <c r="O934" s="8" t="s">
        <v>39</v>
      </c>
      <c r="P934" s="8" t="s">
        <v>29</v>
      </c>
      <c r="Q934" s="3">
        <f t="shared" si="15"/>
        <v>0.54525571273122964</v>
      </c>
      <c r="R934" s="8" t="str" cm="1">
        <f t="array" ref="R934">_xlfn.IFS(Q934&gt;40%,"Alta",Q934&gt;20%,"Média",Q934&lt;20%,"Baixa")</f>
        <v>Alta</v>
      </c>
    </row>
    <row r="935" spans="1:18" x14ac:dyDescent="0.25">
      <c r="A935" s="5">
        <v>572</v>
      </c>
      <c r="B935" s="6">
        <v>45797</v>
      </c>
      <c r="C935" s="8" t="s">
        <v>24</v>
      </c>
      <c r="D935" s="8" t="s">
        <v>45</v>
      </c>
      <c r="E935" s="8" t="s">
        <v>25</v>
      </c>
      <c r="F935" s="5">
        <v>2972</v>
      </c>
      <c r="G935" s="8" t="s">
        <v>26</v>
      </c>
      <c r="H935" s="8" t="s">
        <v>20</v>
      </c>
      <c r="I935" s="5">
        <v>13</v>
      </c>
      <c r="J935" s="10">
        <v>207</v>
      </c>
      <c r="K935" s="10">
        <v>2691</v>
      </c>
      <c r="L935" s="10">
        <v>1814.9</v>
      </c>
      <c r="M935" s="10">
        <v>876.1</v>
      </c>
      <c r="N935" s="8" t="s">
        <v>32</v>
      </c>
      <c r="O935" s="8" t="s">
        <v>39</v>
      </c>
      <c r="P935" s="8" t="s">
        <v>44</v>
      </c>
      <c r="Q935" s="3">
        <f t="shared" si="15"/>
        <v>0.32556670382757341</v>
      </c>
      <c r="R935" s="8" t="str" cm="1">
        <f t="array" ref="R935">_xlfn.IFS(Q935&gt;40%,"Alta",Q935&gt;20%,"Média",Q935&lt;20%,"Baixa")</f>
        <v>Média</v>
      </c>
    </row>
    <row r="936" spans="1:18" x14ac:dyDescent="0.25">
      <c r="A936" s="5">
        <v>764</v>
      </c>
      <c r="B936" s="6">
        <v>45731</v>
      </c>
      <c r="C936" s="8" t="s">
        <v>47</v>
      </c>
      <c r="D936" s="8" t="s">
        <v>35</v>
      </c>
      <c r="E936" s="8" t="s">
        <v>37</v>
      </c>
      <c r="F936" s="5">
        <v>7260</v>
      </c>
      <c r="G936" s="8" t="s">
        <v>19</v>
      </c>
      <c r="H936" s="8" t="s">
        <v>31</v>
      </c>
      <c r="I936" s="5">
        <v>1</v>
      </c>
      <c r="J936" s="10">
        <v>2686</v>
      </c>
      <c r="K936" s="10">
        <v>2686</v>
      </c>
      <c r="L936" s="10">
        <v>2032.25</v>
      </c>
      <c r="M936" s="10">
        <v>653.75</v>
      </c>
      <c r="N936" s="8" t="s">
        <v>28</v>
      </c>
      <c r="O936" s="8" t="s">
        <v>33</v>
      </c>
      <c r="P936" s="8" t="s">
        <v>46</v>
      </c>
      <c r="Q936" s="3">
        <f t="shared" si="15"/>
        <v>0.243391660461653</v>
      </c>
      <c r="R936" s="8" t="str" cm="1">
        <f t="array" ref="R936">_xlfn.IFS(Q936&gt;40%,"Alta",Q936&gt;20%,"Média",Q936&lt;20%,"Baixa")</f>
        <v>Média</v>
      </c>
    </row>
    <row r="937" spans="1:18" x14ac:dyDescent="0.25">
      <c r="A937" s="5">
        <v>359</v>
      </c>
      <c r="B937" s="6">
        <v>45741</v>
      </c>
      <c r="C937" s="8" t="s">
        <v>24</v>
      </c>
      <c r="D937" s="8" t="s">
        <v>42</v>
      </c>
      <c r="E937" s="8" t="s">
        <v>25</v>
      </c>
      <c r="F937" s="5">
        <v>5026</v>
      </c>
      <c r="G937" s="8" t="s">
        <v>26</v>
      </c>
      <c r="H937" s="8" t="s">
        <v>38</v>
      </c>
      <c r="I937" s="5">
        <v>3</v>
      </c>
      <c r="J937" s="10">
        <v>890</v>
      </c>
      <c r="K937" s="10">
        <v>2670</v>
      </c>
      <c r="L937" s="10">
        <v>1618.83</v>
      </c>
      <c r="M937" s="10">
        <v>1051.17</v>
      </c>
      <c r="N937" s="8" t="s">
        <v>21</v>
      </c>
      <c r="O937" s="8" t="s">
        <v>39</v>
      </c>
      <c r="P937" s="8" t="s">
        <v>44</v>
      </c>
      <c r="Q937" s="3">
        <f t="shared" si="15"/>
        <v>0.3936966292134832</v>
      </c>
      <c r="R937" s="8" t="str" cm="1">
        <f t="array" ref="R937">_xlfn.IFS(Q937&gt;40%,"Alta",Q937&gt;20%,"Média",Q937&lt;20%,"Baixa")</f>
        <v>Média</v>
      </c>
    </row>
    <row r="938" spans="1:18" x14ac:dyDescent="0.25">
      <c r="A938" s="5">
        <v>535</v>
      </c>
      <c r="B938" s="6">
        <v>45745</v>
      </c>
      <c r="C938" s="8" t="s">
        <v>47</v>
      </c>
      <c r="D938" s="8" t="s">
        <v>17</v>
      </c>
      <c r="E938" s="8" t="s">
        <v>37</v>
      </c>
      <c r="F938" s="5">
        <v>2318</v>
      </c>
      <c r="G938" s="8" t="s">
        <v>36</v>
      </c>
      <c r="H938" s="8" t="s">
        <v>43</v>
      </c>
      <c r="I938" s="5">
        <v>4</v>
      </c>
      <c r="J938" s="10">
        <v>654</v>
      </c>
      <c r="K938" s="10">
        <v>2616</v>
      </c>
      <c r="L938" s="10">
        <v>1185.71</v>
      </c>
      <c r="M938" s="10">
        <v>1430.29</v>
      </c>
      <c r="N938" s="8" t="s">
        <v>21</v>
      </c>
      <c r="O938" s="8" t="s">
        <v>39</v>
      </c>
      <c r="P938" s="8" t="s">
        <v>44</v>
      </c>
      <c r="Q938" s="3">
        <f t="shared" si="15"/>
        <v>0.54674694189602446</v>
      </c>
      <c r="R938" s="8" t="str" cm="1">
        <f t="array" ref="R938">_xlfn.IFS(Q938&gt;40%,"Alta",Q938&gt;20%,"Média",Q938&lt;20%,"Baixa")</f>
        <v>Alta</v>
      </c>
    </row>
    <row r="939" spans="1:18" x14ac:dyDescent="0.25">
      <c r="A939" s="5">
        <v>103</v>
      </c>
      <c r="B939" s="6">
        <v>45799</v>
      </c>
      <c r="C939" s="8" t="s">
        <v>47</v>
      </c>
      <c r="D939" s="8" t="s">
        <v>30</v>
      </c>
      <c r="E939" s="8" t="s">
        <v>18</v>
      </c>
      <c r="F939" s="5">
        <v>5795</v>
      </c>
      <c r="G939" s="8" t="s">
        <v>19</v>
      </c>
      <c r="H939" s="8" t="s">
        <v>20</v>
      </c>
      <c r="I939" s="5">
        <v>3</v>
      </c>
      <c r="J939" s="10">
        <v>869</v>
      </c>
      <c r="K939" s="10">
        <v>2607</v>
      </c>
      <c r="L939" s="10">
        <v>2070.87</v>
      </c>
      <c r="M939" s="10">
        <v>536.13</v>
      </c>
      <c r="N939" s="8" t="s">
        <v>28</v>
      </c>
      <c r="O939" s="8" t="s">
        <v>39</v>
      </c>
      <c r="P939" s="8" t="s">
        <v>29</v>
      </c>
      <c r="Q939" s="3">
        <f t="shared" si="15"/>
        <v>0.20565017261219792</v>
      </c>
      <c r="R939" s="8" t="str" cm="1">
        <f t="array" ref="R939">_xlfn.IFS(Q939&gt;40%,"Alta",Q939&gt;20%,"Média",Q939&lt;20%,"Baixa")</f>
        <v>Média</v>
      </c>
    </row>
    <row r="940" spans="1:18" x14ac:dyDescent="0.25">
      <c r="A940" s="5">
        <v>350</v>
      </c>
      <c r="B940" s="6">
        <v>45804</v>
      </c>
      <c r="C940" s="8" t="s">
        <v>47</v>
      </c>
      <c r="D940" s="8" t="s">
        <v>30</v>
      </c>
      <c r="E940" s="8" t="s">
        <v>37</v>
      </c>
      <c r="F940" s="5">
        <v>4949</v>
      </c>
      <c r="G940" s="8" t="s">
        <v>36</v>
      </c>
      <c r="H940" s="8" t="s">
        <v>27</v>
      </c>
      <c r="I940" s="5">
        <v>10</v>
      </c>
      <c r="J940" s="10">
        <v>252</v>
      </c>
      <c r="K940" s="10">
        <v>2520</v>
      </c>
      <c r="L940" s="10">
        <v>1875.29</v>
      </c>
      <c r="M940" s="10">
        <v>644.71</v>
      </c>
      <c r="N940" s="8" t="s">
        <v>21</v>
      </c>
      <c r="O940" s="8" t="s">
        <v>33</v>
      </c>
      <c r="P940" s="8" t="s">
        <v>44</v>
      </c>
      <c r="Q940" s="3">
        <f t="shared" si="15"/>
        <v>0.25583730158730161</v>
      </c>
      <c r="R940" s="8" t="str" cm="1">
        <f t="array" ref="R940">_xlfn.IFS(Q940&gt;40%,"Alta",Q940&gt;20%,"Média",Q940&lt;20%,"Baixa")</f>
        <v>Média</v>
      </c>
    </row>
    <row r="941" spans="1:18" x14ac:dyDescent="0.25">
      <c r="A941" s="5">
        <v>545</v>
      </c>
      <c r="B941" s="6">
        <v>45739</v>
      </c>
      <c r="C941" s="8" t="s">
        <v>34</v>
      </c>
      <c r="D941" s="8" t="s">
        <v>17</v>
      </c>
      <c r="E941" s="8" t="s">
        <v>25</v>
      </c>
      <c r="F941" s="5">
        <v>7981</v>
      </c>
      <c r="G941" s="8" t="s">
        <v>26</v>
      </c>
      <c r="H941" s="8" t="s">
        <v>20</v>
      </c>
      <c r="I941" s="5">
        <v>2</v>
      </c>
      <c r="J941" s="10">
        <v>1251</v>
      </c>
      <c r="K941" s="10">
        <v>2502</v>
      </c>
      <c r="L941" s="10">
        <v>1623.37</v>
      </c>
      <c r="M941" s="10">
        <v>878.63</v>
      </c>
      <c r="N941" s="8" t="s">
        <v>32</v>
      </c>
      <c r="O941" s="8" t="s">
        <v>33</v>
      </c>
      <c r="P941" s="8" t="s">
        <v>29</v>
      </c>
      <c r="Q941" s="3">
        <f t="shared" si="15"/>
        <v>0.35117106314948043</v>
      </c>
      <c r="R941" s="8" t="str" cm="1">
        <f t="array" ref="R941">_xlfn.IFS(Q941&gt;40%,"Alta",Q941&gt;20%,"Média",Q941&lt;20%,"Baixa")</f>
        <v>Média</v>
      </c>
    </row>
    <row r="942" spans="1:18" x14ac:dyDescent="0.25">
      <c r="A942" s="5">
        <v>639</v>
      </c>
      <c r="B942" s="6">
        <v>45833</v>
      </c>
      <c r="C942" s="8" t="s">
        <v>24</v>
      </c>
      <c r="D942" s="8" t="s">
        <v>17</v>
      </c>
      <c r="E942" s="8" t="s">
        <v>25</v>
      </c>
      <c r="F942" s="5">
        <v>8871</v>
      </c>
      <c r="G942" s="8" t="s">
        <v>19</v>
      </c>
      <c r="H942" s="8" t="s">
        <v>20</v>
      </c>
      <c r="I942" s="5">
        <v>9</v>
      </c>
      <c r="J942" s="10">
        <v>276</v>
      </c>
      <c r="K942" s="10">
        <v>2484</v>
      </c>
      <c r="L942" s="10">
        <v>1929.3</v>
      </c>
      <c r="M942" s="10">
        <v>554.70000000000005</v>
      </c>
      <c r="N942" s="8" t="s">
        <v>28</v>
      </c>
      <c r="O942" s="8" t="s">
        <v>33</v>
      </c>
      <c r="P942" s="8" t="s">
        <v>44</v>
      </c>
      <c r="Q942" s="3">
        <f t="shared" si="15"/>
        <v>0.22330917874396136</v>
      </c>
      <c r="R942" s="8" t="str" cm="1">
        <f t="array" ref="R942">_xlfn.IFS(Q942&gt;40%,"Alta",Q942&gt;20%,"Média",Q942&lt;20%,"Baixa")</f>
        <v>Média</v>
      </c>
    </row>
    <row r="943" spans="1:18" x14ac:dyDescent="0.25">
      <c r="A943" s="5">
        <v>260</v>
      </c>
      <c r="B943" s="6">
        <v>45689</v>
      </c>
      <c r="C943" s="8" t="s">
        <v>16</v>
      </c>
      <c r="D943" s="8" t="s">
        <v>17</v>
      </c>
      <c r="E943" s="8" t="s">
        <v>37</v>
      </c>
      <c r="F943" s="5">
        <v>5316</v>
      </c>
      <c r="G943" s="8" t="s">
        <v>36</v>
      </c>
      <c r="H943" s="8" t="s">
        <v>31</v>
      </c>
      <c r="I943" s="5">
        <v>1</v>
      </c>
      <c r="J943" s="10">
        <v>2428</v>
      </c>
      <c r="K943" s="10">
        <v>2428</v>
      </c>
      <c r="L943" s="10">
        <v>1560.39</v>
      </c>
      <c r="M943" s="10">
        <v>867.61</v>
      </c>
      <c r="N943" s="8" t="s">
        <v>28</v>
      </c>
      <c r="O943" s="8" t="s">
        <v>39</v>
      </c>
      <c r="P943" s="8" t="s">
        <v>44</v>
      </c>
      <c r="Q943" s="3">
        <f t="shared" si="15"/>
        <v>0.35733525535420102</v>
      </c>
      <c r="R943" s="8" t="str" cm="1">
        <f t="array" ref="R943">_xlfn.IFS(Q943&gt;40%,"Alta",Q943&gt;20%,"Média",Q943&lt;20%,"Baixa")</f>
        <v>Média</v>
      </c>
    </row>
    <row r="944" spans="1:18" x14ac:dyDescent="0.25">
      <c r="A944" s="5">
        <v>697</v>
      </c>
      <c r="B944" s="6">
        <v>45707</v>
      </c>
      <c r="C944" s="8" t="s">
        <v>24</v>
      </c>
      <c r="D944" s="8" t="s">
        <v>45</v>
      </c>
      <c r="E944" s="8" t="s">
        <v>25</v>
      </c>
      <c r="F944" s="5">
        <v>1330</v>
      </c>
      <c r="G944" s="8" t="s">
        <v>26</v>
      </c>
      <c r="H944" s="8" t="s">
        <v>20</v>
      </c>
      <c r="I944" s="5">
        <v>3</v>
      </c>
      <c r="J944" s="10">
        <v>809</v>
      </c>
      <c r="K944" s="10">
        <v>2427</v>
      </c>
      <c r="L944" s="10">
        <v>976.26</v>
      </c>
      <c r="M944" s="10">
        <v>1450.74</v>
      </c>
      <c r="N944" s="8" t="s">
        <v>32</v>
      </c>
      <c r="O944" s="8" t="s">
        <v>39</v>
      </c>
      <c r="P944" s="8" t="s">
        <v>44</v>
      </c>
      <c r="Q944" s="3">
        <f t="shared" si="15"/>
        <v>0.5977503090234858</v>
      </c>
      <c r="R944" s="8" t="str" cm="1">
        <f t="array" ref="R944">_xlfn.IFS(Q944&gt;40%,"Alta",Q944&gt;20%,"Média",Q944&lt;20%,"Baixa")</f>
        <v>Alta</v>
      </c>
    </row>
    <row r="945" spans="1:18" x14ac:dyDescent="0.25">
      <c r="A945" s="5">
        <v>198</v>
      </c>
      <c r="B945" s="6">
        <v>45716</v>
      </c>
      <c r="C945" s="8" t="s">
        <v>34</v>
      </c>
      <c r="D945" s="8" t="s">
        <v>42</v>
      </c>
      <c r="E945" s="8" t="s">
        <v>18</v>
      </c>
      <c r="F945" s="5">
        <v>4576</v>
      </c>
      <c r="G945" s="8" t="s">
        <v>26</v>
      </c>
      <c r="H945" s="8" t="s">
        <v>27</v>
      </c>
      <c r="I945" s="5">
        <v>6</v>
      </c>
      <c r="J945" s="10">
        <v>389</v>
      </c>
      <c r="K945" s="10">
        <v>2334</v>
      </c>
      <c r="L945" s="10">
        <v>1152.48</v>
      </c>
      <c r="M945" s="10">
        <v>1181.52</v>
      </c>
      <c r="N945" s="8" t="s">
        <v>32</v>
      </c>
      <c r="O945" s="8" t="s">
        <v>39</v>
      </c>
      <c r="P945" s="8" t="s">
        <v>46</v>
      </c>
      <c r="Q945" s="3">
        <f t="shared" si="15"/>
        <v>0.50622107969151675</v>
      </c>
      <c r="R945" s="8" t="str" cm="1">
        <f t="array" ref="R945">_xlfn.IFS(Q945&gt;40%,"Alta",Q945&gt;20%,"Média",Q945&lt;20%,"Baixa")</f>
        <v>Alta</v>
      </c>
    </row>
    <row r="946" spans="1:18" x14ac:dyDescent="0.25">
      <c r="A946" s="5">
        <v>429</v>
      </c>
      <c r="B946" s="6">
        <v>45764</v>
      </c>
      <c r="C946" s="8" t="s">
        <v>34</v>
      </c>
      <c r="D946" s="8" t="s">
        <v>42</v>
      </c>
      <c r="E946" s="8" t="s">
        <v>41</v>
      </c>
      <c r="F946" s="5">
        <v>6903</v>
      </c>
      <c r="G946" s="8" t="s">
        <v>19</v>
      </c>
      <c r="H946" s="8" t="s">
        <v>20</v>
      </c>
      <c r="I946" s="5">
        <v>4</v>
      </c>
      <c r="J946" s="10">
        <v>580</v>
      </c>
      <c r="K946" s="10">
        <v>2320</v>
      </c>
      <c r="L946" s="10">
        <v>1247.19</v>
      </c>
      <c r="M946" s="10">
        <v>1072.81</v>
      </c>
      <c r="N946" s="8" t="s">
        <v>28</v>
      </c>
      <c r="O946" s="8" t="s">
        <v>39</v>
      </c>
      <c r="P946" s="8" t="s">
        <v>29</v>
      </c>
      <c r="Q946" s="3">
        <f t="shared" si="15"/>
        <v>0.46241810344827583</v>
      </c>
      <c r="R946" s="8" t="str" cm="1">
        <f t="array" ref="R946">_xlfn.IFS(Q946&gt;40%,"Alta",Q946&gt;20%,"Média",Q946&lt;20%,"Baixa")</f>
        <v>Alta</v>
      </c>
    </row>
    <row r="947" spans="1:18" x14ac:dyDescent="0.25">
      <c r="A947" s="5">
        <v>482</v>
      </c>
      <c r="B947" s="6">
        <v>45777</v>
      </c>
      <c r="C947" s="8" t="s">
        <v>34</v>
      </c>
      <c r="D947" s="8" t="s">
        <v>42</v>
      </c>
      <c r="E947" s="8" t="s">
        <v>37</v>
      </c>
      <c r="F947" s="5">
        <v>7598</v>
      </c>
      <c r="G947" s="8" t="s">
        <v>26</v>
      </c>
      <c r="H947" s="8" t="s">
        <v>31</v>
      </c>
      <c r="I947" s="5">
        <v>2</v>
      </c>
      <c r="J947" s="10">
        <v>1132</v>
      </c>
      <c r="K947" s="10">
        <v>2264</v>
      </c>
      <c r="L947" s="10">
        <v>972.01</v>
      </c>
      <c r="M947" s="10">
        <v>1291.99</v>
      </c>
      <c r="N947" s="8" t="s">
        <v>28</v>
      </c>
      <c r="O947" s="8" t="s">
        <v>33</v>
      </c>
      <c r="P947" s="8" t="s">
        <v>23</v>
      </c>
      <c r="Q947" s="3">
        <f t="shared" si="15"/>
        <v>0.570666961130742</v>
      </c>
      <c r="R947" s="8" t="str" cm="1">
        <f t="array" ref="R947">_xlfn.IFS(Q947&gt;40%,"Alta",Q947&gt;20%,"Média",Q947&lt;20%,"Baixa")</f>
        <v>Alta</v>
      </c>
    </row>
    <row r="948" spans="1:18" x14ac:dyDescent="0.25">
      <c r="A948" s="5">
        <v>434</v>
      </c>
      <c r="B948" s="6">
        <v>45786</v>
      </c>
      <c r="C948" s="8" t="s">
        <v>24</v>
      </c>
      <c r="D948" s="8" t="s">
        <v>30</v>
      </c>
      <c r="E948" s="8" t="s">
        <v>18</v>
      </c>
      <c r="F948" s="5">
        <v>4457</v>
      </c>
      <c r="G948" s="8" t="s">
        <v>19</v>
      </c>
      <c r="H948" s="8" t="s">
        <v>20</v>
      </c>
      <c r="I948" s="5">
        <v>6</v>
      </c>
      <c r="J948" s="10">
        <v>369</v>
      </c>
      <c r="K948" s="10">
        <v>2214</v>
      </c>
      <c r="L948" s="10">
        <v>1011.79</v>
      </c>
      <c r="M948" s="10">
        <v>1202.21</v>
      </c>
      <c r="N948" s="8" t="s">
        <v>21</v>
      </c>
      <c r="O948" s="8" t="s">
        <v>39</v>
      </c>
      <c r="P948" s="8" t="s">
        <v>29</v>
      </c>
      <c r="Q948" s="3">
        <f t="shared" si="15"/>
        <v>0.54300361336946701</v>
      </c>
      <c r="R948" s="8" t="str" cm="1">
        <f t="array" ref="R948">_xlfn.IFS(Q948&gt;40%,"Alta",Q948&gt;20%,"Média",Q948&lt;20%,"Baixa")</f>
        <v>Alta</v>
      </c>
    </row>
    <row r="949" spans="1:18" x14ac:dyDescent="0.25">
      <c r="A949" s="5">
        <v>26</v>
      </c>
      <c r="B949" s="6">
        <v>45733</v>
      </c>
      <c r="C949" s="8" t="s">
        <v>47</v>
      </c>
      <c r="D949" s="8" t="s">
        <v>35</v>
      </c>
      <c r="E949" s="8" t="s">
        <v>18</v>
      </c>
      <c r="F949" s="5">
        <v>4380</v>
      </c>
      <c r="G949" s="8" t="s">
        <v>36</v>
      </c>
      <c r="H949" s="8" t="s">
        <v>20</v>
      </c>
      <c r="I949" s="5">
        <v>6</v>
      </c>
      <c r="J949" s="10">
        <v>368</v>
      </c>
      <c r="K949" s="10">
        <v>2208</v>
      </c>
      <c r="L949" s="10">
        <v>1640.12</v>
      </c>
      <c r="M949" s="10">
        <v>567.88</v>
      </c>
      <c r="N949" s="8" t="s">
        <v>21</v>
      </c>
      <c r="O949" s="8" t="s">
        <v>39</v>
      </c>
      <c r="P949" s="8" t="s">
        <v>29</v>
      </c>
      <c r="Q949" s="3">
        <f t="shared" si="15"/>
        <v>0.25719202898550725</v>
      </c>
      <c r="R949" s="8" t="str" cm="1">
        <f t="array" ref="R949">_xlfn.IFS(Q949&gt;40%,"Alta",Q949&gt;20%,"Média",Q949&lt;20%,"Baixa")</f>
        <v>Média</v>
      </c>
    </row>
    <row r="950" spans="1:18" x14ac:dyDescent="0.25">
      <c r="A950" s="5">
        <v>961</v>
      </c>
      <c r="B950" s="6">
        <v>45696</v>
      </c>
      <c r="C950" s="8" t="s">
        <v>24</v>
      </c>
      <c r="D950" s="8" t="s">
        <v>17</v>
      </c>
      <c r="E950" s="8" t="s">
        <v>18</v>
      </c>
      <c r="F950" s="5">
        <v>2350</v>
      </c>
      <c r="G950" s="8" t="s">
        <v>19</v>
      </c>
      <c r="H950" s="8" t="s">
        <v>27</v>
      </c>
      <c r="I950" s="5">
        <v>3</v>
      </c>
      <c r="J950" s="10">
        <v>724</v>
      </c>
      <c r="K950" s="10">
        <v>2172</v>
      </c>
      <c r="L950" s="10">
        <v>1020.5</v>
      </c>
      <c r="M950" s="10">
        <v>1151.5</v>
      </c>
      <c r="N950" s="8" t="s">
        <v>32</v>
      </c>
      <c r="O950" s="8" t="s">
        <v>33</v>
      </c>
      <c r="P950" s="8" t="s">
        <v>40</v>
      </c>
      <c r="Q950" s="3">
        <f t="shared" si="15"/>
        <v>0.5301565377532228</v>
      </c>
      <c r="R950" s="8" t="str" cm="1">
        <f t="array" ref="R950">_xlfn.IFS(Q950&gt;40%,"Alta",Q950&gt;20%,"Média",Q950&lt;20%,"Baixa")</f>
        <v>Alta</v>
      </c>
    </row>
    <row r="951" spans="1:18" x14ac:dyDescent="0.25">
      <c r="A951" s="5">
        <v>966</v>
      </c>
      <c r="B951" s="6">
        <v>45688</v>
      </c>
      <c r="C951" s="8" t="s">
        <v>34</v>
      </c>
      <c r="D951" s="8" t="s">
        <v>35</v>
      </c>
      <c r="E951" s="8" t="s">
        <v>41</v>
      </c>
      <c r="F951" s="5">
        <v>6797</v>
      </c>
      <c r="G951" s="8" t="s">
        <v>19</v>
      </c>
      <c r="H951" s="8" t="s">
        <v>43</v>
      </c>
      <c r="I951" s="5">
        <v>1</v>
      </c>
      <c r="J951" s="10">
        <v>2146</v>
      </c>
      <c r="K951" s="10">
        <v>2146</v>
      </c>
      <c r="L951" s="10">
        <v>999.26</v>
      </c>
      <c r="M951" s="10">
        <v>1146.74</v>
      </c>
      <c r="N951" s="8" t="s">
        <v>28</v>
      </c>
      <c r="O951" s="8" t="s">
        <v>33</v>
      </c>
      <c r="P951" s="8" t="s">
        <v>46</v>
      </c>
      <c r="Q951" s="3">
        <f t="shared" si="15"/>
        <v>0.53436160298229263</v>
      </c>
      <c r="R951" s="8" t="str" cm="1">
        <f t="array" ref="R951">_xlfn.IFS(Q951&gt;40%,"Alta",Q951&gt;20%,"Média",Q951&lt;20%,"Baixa")</f>
        <v>Alta</v>
      </c>
    </row>
    <row r="952" spans="1:18" x14ac:dyDescent="0.25">
      <c r="A952" s="5">
        <v>975</v>
      </c>
      <c r="B952" s="6">
        <v>45795</v>
      </c>
      <c r="C952" s="8" t="s">
        <v>16</v>
      </c>
      <c r="D952" s="8" t="s">
        <v>42</v>
      </c>
      <c r="E952" s="8" t="s">
        <v>18</v>
      </c>
      <c r="F952" s="5">
        <v>3258</v>
      </c>
      <c r="G952" s="8" t="s">
        <v>26</v>
      </c>
      <c r="H952" s="8" t="s">
        <v>20</v>
      </c>
      <c r="I952" s="5">
        <v>3</v>
      </c>
      <c r="J952" s="10">
        <v>710</v>
      </c>
      <c r="K952" s="10">
        <v>2130</v>
      </c>
      <c r="L952" s="10">
        <v>1025.21</v>
      </c>
      <c r="M952" s="10">
        <v>1104.79</v>
      </c>
      <c r="N952" s="8" t="s">
        <v>28</v>
      </c>
      <c r="O952" s="8" t="s">
        <v>39</v>
      </c>
      <c r="P952" s="8" t="s">
        <v>44</v>
      </c>
      <c r="Q952" s="3">
        <f t="shared" si="15"/>
        <v>0.51868075117370893</v>
      </c>
      <c r="R952" s="8" t="str" cm="1">
        <f t="array" ref="R952">_xlfn.IFS(Q952&gt;40%,"Alta",Q952&gt;20%,"Média",Q952&lt;20%,"Baixa")</f>
        <v>Alta</v>
      </c>
    </row>
    <row r="953" spans="1:18" x14ac:dyDescent="0.25">
      <c r="A953" s="5">
        <v>13</v>
      </c>
      <c r="B953" s="6">
        <v>45710</v>
      </c>
      <c r="C953" s="8" t="s">
        <v>34</v>
      </c>
      <c r="D953" s="8" t="s">
        <v>42</v>
      </c>
      <c r="E953" s="8" t="s">
        <v>18</v>
      </c>
      <c r="F953" s="5">
        <v>3229</v>
      </c>
      <c r="G953" s="8" t="s">
        <v>26</v>
      </c>
      <c r="H953" s="8" t="s">
        <v>27</v>
      </c>
      <c r="I953" s="5">
        <v>2</v>
      </c>
      <c r="J953" s="10">
        <v>1063</v>
      </c>
      <c r="K953" s="10">
        <v>2126</v>
      </c>
      <c r="L953" s="10">
        <v>1265.29</v>
      </c>
      <c r="M953" s="10">
        <v>860.71</v>
      </c>
      <c r="N953" s="8" t="s">
        <v>28</v>
      </c>
      <c r="O953" s="8" t="s">
        <v>22</v>
      </c>
      <c r="P953" s="8" t="s">
        <v>44</v>
      </c>
      <c r="Q953" s="3">
        <f t="shared" si="15"/>
        <v>0.40484948259642523</v>
      </c>
      <c r="R953" s="8" t="str" cm="1">
        <f t="array" ref="R953">_xlfn.IFS(Q953&gt;40%,"Alta",Q953&gt;20%,"Média",Q953&lt;20%,"Baixa")</f>
        <v>Alta</v>
      </c>
    </row>
    <row r="954" spans="1:18" x14ac:dyDescent="0.25">
      <c r="A954" s="5">
        <v>755</v>
      </c>
      <c r="B954" s="6">
        <v>45675</v>
      </c>
      <c r="C954" s="8" t="s">
        <v>47</v>
      </c>
      <c r="D954" s="8" t="s">
        <v>42</v>
      </c>
      <c r="E954" s="8" t="s">
        <v>41</v>
      </c>
      <c r="F954" s="5">
        <v>5470</v>
      </c>
      <c r="G954" s="8" t="s">
        <v>26</v>
      </c>
      <c r="H954" s="8" t="s">
        <v>38</v>
      </c>
      <c r="I954" s="5">
        <v>6</v>
      </c>
      <c r="J954" s="10">
        <v>353</v>
      </c>
      <c r="K954" s="10">
        <v>2118</v>
      </c>
      <c r="L954" s="10">
        <v>1443.44</v>
      </c>
      <c r="M954" s="10">
        <v>674.56</v>
      </c>
      <c r="N954" s="8" t="s">
        <v>28</v>
      </c>
      <c r="O954" s="8" t="s">
        <v>22</v>
      </c>
      <c r="P954" s="8" t="s">
        <v>23</v>
      </c>
      <c r="Q954" s="3">
        <f t="shared" si="15"/>
        <v>0.31848914069877238</v>
      </c>
      <c r="R954" s="8" t="str" cm="1">
        <f t="array" ref="R954">_xlfn.IFS(Q954&gt;40%,"Alta",Q954&gt;20%,"Média",Q954&lt;20%,"Baixa")</f>
        <v>Média</v>
      </c>
    </row>
    <row r="955" spans="1:18" x14ac:dyDescent="0.25">
      <c r="A955" s="5">
        <v>370</v>
      </c>
      <c r="B955" s="6">
        <v>45701</v>
      </c>
      <c r="C955" s="8" t="s">
        <v>16</v>
      </c>
      <c r="D955" s="8" t="s">
        <v>35</v>
      </c>
      <c r="E955" s="8" t="s">
        <v>37</v>
      </c>
      <c r="F955" s="5">
        <v>2069</v>
      </c>
      <c r="G955" s="8" t="s">
        <v>26</v>
      </c>
      <c r="H955" s="8" t="s">
        <v>20</v>
      </c>
      <c r="I955" s="5">
        <v>7</v>
      </c>
      <c r="J955" s="10">
        <v>301</v>
      </c>
      <c r="K955" s="10">
        <v>2107</v>
      </c>
      <c r="L955" s="10">
        <v>1121.94</v>
      </c>
      <c r="M955" s="10">
        <v>985.06</v>
      </c>
      <c r="N955" s="8" t="s">
        <v>21</v>
      </c>
      <c r="O955" s="8" t="s">
        <v>22</v>
      </c>
      <c r="P955" s="8" t="s">
        <v>46</v>
      </c>
      <c r="Q955" s="3">
        <f t="shared" si="15"/>
        <v>0.46751779781680114</v>
      </c>
      <c r="R955" s="8" t="str" cm="1">
        <f t="array" ref="R955">_xlfn.IFS(Q955&gt;40%,"Alta",Q955&gt;20%,"Média",Q955&lt;20%,"Baixa")</f>
        <v>Alta</v>
      </c>
    </row>
    <row r="956" spans="1:18" x14ac:dyDescent="0.25">
      <c r="A956" s="5">
        <v>164</v>
      </c>
      <c r="B956" s="6">
        <v>45814</v>
      </c>
      <c r="C956" s="8" t="s">
        <v>34</v>
      </c>
      <c r="D956" s="8" t="s">
        <v>17</v>
      </c>
      <c r="E956" s="8" t="s">
        <v>41</v>
      </c>
      <c r="F956" s="5">
        <v>2870</v>
      </c>
      <c r="G956" s="8" t="s">
        <v>26</v>
      </c>
      <c r="H956" s="8" t="s">
        <v>38</v>
      </c>
      <c r="I956" s="5">
        <v>2</v>
      </c>
      <c r="J956" s="10">
        <v>1052</v>
      </c>
      <c r="K956" s="10">
        <v>2104</v>
      </c>
      <c r="L956" s="10">
        <v>1479.8</v>
      </c>
      <c r="M956" s="10">
        <v>624.20000000000005</v>
      </c>
      <c r="N956" s="8" t="s">
        <v>21</v>
      </c>
      <c r="O956" s="8" t="s">
        <v>39</v>
      </c>
      <c r="P956" s="8" t="s">
        <v>29</v>
      </c>
      <c r="Q956" s="3">
        <f t="shared" si="15"/>
        <v>0.2966730038022814</v>
      </c>
      <c r="R956" s="8" t="str" cm="1">
        <f t="array" ref="R956">_xlfn.IFS(Q956&gt;40%,"Alta",Q956&gt;20%,"Média",Q956&lt;20%,"Baixa")</f>
        <v>Média</v>
      </c>
    </row>
    <row r="957" spans="1:18" x14ac:dyDescent="0.25">
      <c r="A957" s="5">
        <v>395</v>
      </c>
      <c r="B957" s="6">
        <v>45662</v>
      </c>
      <c r="C957" s="8" t="s">
        <v>24</v>
      </c>
      <c r="D957" s="8" t="s">
        <v>35</v>
      </c>
      <c r="E957" s="8" t="s">
        <v>41</v>
      </c>
      <c r="F957" s="5">
        <v>6789</v>
      </c>
      <c r="G957" s="8" t="s">
        <v>26</v>
      </c>
      <c r="H957" s="8" t="s">
        <v>43</v>
      </c>
      <c r="I957" s="5">
        <v>8</v>
      </c>
      <c r="J957" s="10">
        <v>263</v>
      </c>
      <c r="K957" s="10">
        <v>2104</v>
      </c>
      <c r="L957" s="10">
        <v>1137.98</v>
      </c>
      <c r="M957" s="10">
        <v>966.02</v>
      </c>
      <c r="N957" s="8" t="s">
        <v>28</v>
      </c>
      <c r="O957" s="8" t="s">
        <v>39</v>
      </c>
      <c r="P957" s="8" t="s">
        <v>29</v>
      </c>
      <c r="Q957" s="3">
        <f t="shared" si="15"/>
        <v>0.45913498098859312</v>
      </c>
      <c r="R957" s="8" t="str" cm="1">
        <f t="array" ref="R957">_xlfn.IFS(Q957&gt;40%,"Alta",Q957&gt;20%,"Média",Q957&lt;20%,"Baixa")</f>
        <v>Alta</v>
      </c>
    </row>
    <row r="958" spans="1:18" x14ac:dyDescent="0.25">
      <c r="A958" s="5">
        <v>991</v>
      </c>
      <c r="B958" s="6">
        <v>45687</v>
      </c>
      <c r="C958" s="8" t="s">
        <v>24</v>
      </c>
      <c r="D958" s="8" t="s">
        <v>30</v>
      </c>
      <c r="E958" s="8" t="s">
        <v>37</v>
      </c>
      <c r="F958" s="5">
        <v>3363</v>
      </c>
      <c r="G958" s="8" t="s">
        <v>36</v>
      </c>
      <c r="H958" s="8" t="s">
        <v>43</v>
      </c>
      <c r="I958" s="5">
        <v>4</v>
      </c>
      <c r="J958" s="10">
        <v>526</v>
      </c>
      <c r="K958" s="10">
        <v>2104</v>
      </c>
      <c r="L958" s="10">
        <v>1510.98</v>
      </c>
      <c r="M958" s="10">
        <v>593.02</v>
      </c>
      <c r="N958" s="8" t="s">
        <v>32</v>
      </c>
      <c r="O958" s="8" t="s">
        <v>33</v>
      </c>
      <c r="P958" s="8" t="s">
        <v>44</v>
      </c>
      <c r="Q958" s="3">
        <f t="shared" si="15"/>
        <v>0.28185361216730037</v>
      </c>
      <c r="R958" s="8" t="str" cm="1">
        <f t="array" ref="R958">_xlfn.IFS(Q958&gt;40%,"Alta",Q958&gt;20%,"Média",Q958&lt;20%,"Baixa")</f>
        <v>Média</v>
      </c>
    </row>
    <row r="959" spans="1:18" x14ac:dyDescent="0.25">
      <c r="A959" s="5">
        <v>245</v>
      </c>
      <c r="B959" s="6">
        <v>45789</v>
      </c>
      <c r="C959" s="8" t="s">
        <v>24</v>
      </c>
      <c r="D959" s="8" t="s">
        <v>17</v>
      </c>
      <c r="E959" s="8" t="s">
        <v>37</v>
      </c>
      <c r="F959" s="5">
        <v>4629</v>
      </c>
      <c r="G959" s="8" t="s">
        <v>26</v>
      </c>
      <c r="H959" s="8" t="s">
        <v>20</v>
      </c>
      <c r="I959" s="5">
        <v>2</v>
      </c>
      <c r="J959" s="10">
        <v>1001</v>
      </c>
      <c r="K959" s="10">
        <v>2002</v>
      </c>
      <c r="L959" s="10">
        <v>1121.49</v>
      </c>
      <c r="M959" s="10">
        <v>880.51</v>
      </c>
      <c r="N959" s="8" t="s">
        <v>32</v>
      </c>
      <c r="O959" s="8" t="s">
        <v>22</v>
      </c>
      <c r="P959" s="8" t="s">
        <v>40</v>
      </c>
      <c r="Q959" s="3">
        <f t="shared" si="15"/>
        <v>0.43981518481518483</v>
      </c>
      <c r="R959" s="8" t="str" cm="1">
        <f t="array" ref="R959">_xlfn.IFS(Q959&gt;40%,"Alta",Q959&gt;20%,"Média",Q959&lt;20%,"Baixa")</f>
        <v>Alta</v>
      </c>
    </row>
    <row r="960" spans="1:18" x14ac:dyDescent="0.25">
      <c r="A960" s="5">
        <v>644</v>
      </c>
      <c r="B960" s="6">
        <v>45779</v>
      </c>
      <c r="C960" s="8" t="s">
        <v>24</v>
      </c>
      <c r="D960" s="8" t="s">
        <v>35</v>
      </c>
      <c r="E960" s="8" t="s">
        <v>37</v>
      </c>
      <c r="F960" s="5">
        <v>1983</v>
      </c>
      <c r="G960" s="8" t="s">
        <v>26</v>
      </c>
      <c r="H960" s="8" t="s">
        <v>27</v>
      </c>
      <c r="I960" s="5">
        <v>1</v>
      </c>
      <c r="J960" s="10">
        <v>1986</v>
      </c>
      <c r="K960" s="10">
        <v>1986</v>
      </c>
      <c r="L960" s="10">
        <v>887.21</v>
      </c>
      <c r="M960" s="10">
        <v>1098.79</v>
      </c>
      <c r="N960" s="8" t="s">
        <v>28</v>
      </c>
      <c r="O960" s="8" t="s">
        <v>22</v>
      </c>
      <c r="P960" s="8" t="s">
        <v>40</v>
      </c>
      <c r="Q960" s="3">
        <f t="shared" si="15"/>
        <v>0.55326787512588116</v>
      </c>
      <c r="R960" s="8" t="str" cm="1">
        <f t="array" ref="R960">_xlfn.IFS(Q960&gt;40%,"Alta",Q960&gt;20%,"Média",Q960&lt;20%,"Baixa")</f>
        <v>Alta</v>
      </c>
    </row>
    <row r="961" spans="1:18" x14ac:dyDescent="0.25">
      <c r="A961" s="5">
        <v>695</v>
      </c>
      <c r="B961" s="6">
        <v>45830</v>
      </c>
      <c r="C961" s="8" t="s">
        <v>47</v>
      </c>
      <c r="D961" s="8" t="s">
        <v>35</v>
      </c>
      <c r="E961" s="8" t="s">
        <v>25</v>
      </c>
      <c r="F961" s="5">
        <v>5217</v>
      </c>
      <c r="G961" s="8" t="s">
        <v>19</v>
      </c>
      <c r="H961" s="8" t="s">
        <v>27</v>
      </c>
      <c r="I961" s="5">
        <v>3</v>
      </c>
      <c r="J961" s="10">
        <v>644</v>
      </c>
      <c r="K961" s="10">
        <v>1932</v>
      </c>
      <c r="L961" s="10">
        <v>1408.6</v>
      </c>
      <c r="M961" s="10">
        <v>523.4</v>
      </c>
      <c r="N961" s="8" t="s">
        <v>21</v>
      </c>
      <c r="O961" s="8" t="s">
        <v>22</v>
      </c>
      <c r="P961" s="8" t="s">
        <v>40</v>
      </c>
      <c r="Q961" s="3">
        <f t="shared" si="15"/>
        <v>0.2709109730848861</v>
      </c>
      <c r="R961" s="8" t="str" cm="1">
        <f t="array" ref="R961">_xlfn.IFS(Q961&gt;40%,"Alta",Q961&gt;20%,"Média",Q961&lt;20%,"Baixa")</f>
        <v>Média</v>
      </c>
    </row>
    <row r="962" spans="1:18" x14ac:dyDescent="0.25">
      <c r="A962" s="5">
        <v>163</v>
      </c>
      <c r="B962" s="6">
        <v>45815</v>
      </c>
      <c r="C962" s="8" t="s">
        <v>24</v>
      </c>
      <c r="D962" s="8" t="s">
        <v>42</v>
      </c>
      <c r="E962" s="8" t="s">
        <v>18</v>
      </c>
      <c r="F962" s="5">
        <v>4813</v>
      </c>
      <c r="G962" s="8" t="s">
        <v>19</v>
      </c>
      <c r="H962" s="8" t="s">
        <v>27</v>
      </c>
      <c r="I962" s="5">
        <v>1</v>
      </c>
      <c r="J962" s="10">
        <v>1897</v>
      </c>
      <c r="K962" s="10">
        <v>1897</v>
      </c>
      <c r="L962" s="10">
        <v>1359.67</v>
      </c>
      <c r="M962" s="10">
        <v>537.33000000000004</v>
      </c>
      <c r="N962" s="8" t="s">
        <v>28</v>
      </c>
      <c r="O962" s="8" t="s">
        <v>22</v>
      </c>
      <c r="P962" s="8" t="s">
        <v>40</v>
      </c>
      <c r="Q962" s="3">
        <f t="shared" ref="Q962:Q1001" si="16">M962/K962</f>
        <v>0.28325250395361101</v>
      </c>
      <c r="R962" s="8" t="str" cm="1">
        <f t="array" ref="R962">_xlfn.IFS(Q962&gt;40%,"Alta",Q962&gt;20%,"Média",Q962&lt;20%,"Baixa")</f>
        <v>Média</v>
      </c>
    </row>
    <row r="963" spans="1:18" x14ac:dyDescent="0.25">
      <c r="A963" s="5">
        <v>997</v>
      </c>
      <c r="B963" s="6">
        <v>45678</v>
      </c>
      <c r="C963" s="8" t="s">
        <v>34</v>
      </c>
      <c r="D963" s="8" t="s">
        <v>45</v>
      </c>
      <c r="E963" s="8" t="s">
        <v>18</v>
      </c>
      <c r="F963" s="5">
        <v>4621</v>
      </c>
      <c r="G963" s="8" t="s">
        <v>19</v>
      </c>
      <c r="H963" s="8" t="s">
        <v>20</v>
      </c>
      <c r="I963" s="5">
        <v>6</v>
      </c>
      <c r="J963" s="10">
        <v>305</v>
      </c>
      <c r="K963" s="10">
        <v>1830</v>
      </c>
      <c r="L963" s="10">
        <v>1206.26</v>
      </c>
      <c r="M963" s="10">
        <v>623.74</v>
      </c>
      <c r="N963" s="8" t="s">
        <v>32</v>
      </c>
      <c r="O963" s="8" t="s">
        <v>39</v>
      </c>
      <c r="P963" s="8" t="s">
        <v>46</v>
      </c>
      <c r="Q963" s="3">
        <f t="shared" si="16"/>
        <v>0.34084153005464479</v>
      </c>
      <c r="R963" s="8" t="str" cm="1">
        <f t="array" ref="R963">_xlfn.IFS(Q963&gt;40%,"Alta",Q963&gt;20%,"Média",Q963&lt;20%,"Baixa")</f>
        <v>Média</v>
      </c>
    </row>
    <row r="964" spans="1:18" x14ac:dyDescent="0.25">
      <c r="A964" s="5">
        <v>585</v>
      </c>
      <c r="B964" s="6">
        <v>45658</v>
      </c>
      <c r="C964" s="8" t="s">
        <v>24</v>
      </c>
      <c r="D964" s="8" t="s">
        <v>35</v>
      </c>
      <c r="E964" s="8" t="s">
        <v>41</v>
      </c>
      <c r="F964" s="5">
        <v>4935</v>
      </c>
      <c r="G964" s="8" t="s">
        <v>19</v>
      </c>
      <c r="H964" s="8" t="s">
        <v>27</v>
      </c>
      <c r="I964" s="5">
        <v>1</v>
      </c>
      <c r="J964" s="10">
        <v>1826</v>
      </c>
      <c r="K964" s="10">
        <v>1826</v>
      </c>
      <c r="L964" s="10">
        <v>873.39</v>
      </c>
      <c r="M964" s="10">
        <v>952.61</v>
      </c>
      <c r="N964" s="8" t="s">
        <v>32</v>
      </c>
      <c r="O964" s="8" t="s">
        <v>33</v>
      </c>
      <c r="P964" s="8" t="s">
        <v>46</v>
      </c>
      <c r="Q964" s="3">
        <f t="shared" si="16"/>
        <v>0.5216922234392114</v>
      </c>
      <c r="R964" s="8" t="str" cm="1">
        <f t="array" ref="R964">_xlfn.IFS(Q964&gt;40%,"Alta",Q964&gt;20%,"Média",Q964&lt;20%,"Baixa")</f>
        <v>Alta</v>
      </c>
    </row>
    <row r="965" spans="1:18" x14ac:dyDescent="0.25">
      <c r="A965" s="5">
        <v>51</v>
      </c>
      <c r="B965" s="6">
        <v>45730</v>
      </c>
      <c r="C965" s="8" t="s">
        <v>16</v>
      </c>
      <c r="D965" s="8" t="s">
        <v>45</v>
      </c>
      <c r="E965" s="8" t="s">
        <v>41</v>
      </c>
      <c r="F965" s="5">
        <v>3431</v>
      </c>
      <c r="G965" s="8" t="s">
        <v>36</v>
      </c>
      <c r="H965" s="8" t="s">
        <v>31</v>
      </c>
      <c r="I965" s="5">
        <v>1</v>
      </c>
      <c r="J965" s="10">
        <v>1794</v>
      </c>
      <c r="K965" s="10">
        <v>1794</v>
      </c>
      <c r="L965" s="10">
        <v>748.4</v>
      </c>
      <c r="M965" s="10">
        <v>1045.5999999999999</v>
      </c>
      <c r="N965" s="8" t="s">
        <v>28</v>
      </c>
      <c r="O965" s="8" t="s">
        <v>33</v>
      </c>
      <c r="P965" s="8" t="s">
        <v>40</v>
      </c>
      <c r="Q965" s="3">
        <f t="shared" si="16"/>
        <v>0.5828316610925306</v>
      </c>
      <c r="R965" s="8" t="str" cm="1">
        <f t="array" ref="R965">_xlfn.IFS(Q965&gt;40%,"Alta",Q965&gt;20%,"Média",Q965&lt;20%,"Baixa")</f>
        <v>Alta</v>
      </c>
    </row>
    <row r="966" spans="1:18" x14ac:dyDescent="0.25">
      <c r="A966" s="5">
        <v>454</v>
      </c>
      <c r="B966" s="6">
        <v>45771</v>
      </c>
      <c r="C966" s="8" t="s">
        <v>16</v>
      </c>
      <c r="D966" s="8" t="s">
        <v>35</v>
      </c>
      <c r="E966" s="8" t="s">
        <v>18</v>
      </c>
      <c r="F966" s="5">
        <v>4533</v>
      </c>
      <c r="G966" s="8" t="s">
        <v>19</v>
      </c>
      <c r="H966" s="8" t="s">
        <v>27</v>
      </c>
      <c r="I966" s="5">
        <v>6</v>
      </c>
      <c r="J966" s="10">
        <v>295</v>
      </c>
      <c r="K966" s="10">
        <v>1770</v>
      </c>
      <c r="L966" s="10">
        <v>717.04</v>
      </c>
      <c r="M966" s="10">
        <v>1052.96</v>
      </c>
      <c r="N966" s="8" t="s">
        <v>32</v>
      </c>
      <c r="O966" s="8" t="s">
        <v>39</v>
      </c>
      <c r="P966" s="8" t="s">
        <v>44</v>
      </c>
      <c r="Q966" s="3">
        <f t="shared" si="16"/>
        <v>0.59489265536723168</v>
      </c>
      <c r="R966" s="8" t="str" cm="1">
        <f t="array" ref="R966">_xlfn.IFS(Q966&gt;40%,"Alta",Q966&gt;20%,"Média",Q966&lt;20%,"Baixa")</f>
        <v>Alta</v>
      </c>
    </row>
    <row r="967" spans="1:18" x14ac:dyDescent="0.25">
      <c r="A967" s="5">
        <v>737</v>
      </c>
      <c r="B967" s="6">
        <v>45674</v>
      </c>
      <c r="C967" s="8" t="s">
        <v>16</v>
      </c>
      <c r="D967" s="8" t="s">
        <v>42</v>
      </c>
      <c r="E967" s="8" t="s">
        <v>37</v>
      </c>
      <c r="F967" s="5">
        <v>3346</v>
      </c>
      <c r="G967" s="8" t="s">
        <v>36</v>
      </c>
      <c r="H967" s="8" t="s">
        <v>20</v>
      </c>
      <c r="I967" s="5">
        <v>3</v>
      </c>
      <c r="J967" s="10">
        <v>590</v>
      </c>
      <c r="K967" s="10">
        <v>1770</v>
      </c>
      <c r="L967" s="10">
        <v>1383.11</v>
      </c>
      <c r="M967" s="10">
        <v>386.89</v>
      </c>
      <c r="N967" s="8" t="s">
        <v>32</v>
      </c>
      <c r="O967" s="8" t="s">
        <v>39</v>
      </c>
      <c r="P967" s="8" t="s">
        <v>40</v>
      </c>
      <c r="Q967" s="3">
        <f t="shared" si="16"/>
        <v>0.21858192090395479</v>
      </c>
      <c r="R967" s="8" t="str" cm="1">
        <f t="array" ref="R967">_xlfn.IFS(Q967&gt;40%,"Alta",Q967&gt;20%,"Média",Q967&lt;20%,"Baixa")</f>
        <v>Média</v>
      </c>
    </row>
    <row r="968" spans="1:18" x14ac:dyDescent="0.25">
      <c r="A968" s="5">
        <v>268</v>
      </c>
      <c r="B968" s="6">
        <v>45825</v>
      </c>
      <c r="C968" s="8" t="s">
        <v>24</v>
      </c>
      <c r="D968" s="8" t="s">
        <v>45</v>
      </c>
      <c r="E968" s="8" t="s">
        <v>18</v>
      </c>
      <c r="F968" s="5">
        <v>1557</v>
      </c>
      <c r="G968" s="8" t="s">
        <v>36</v>
      </c>
      <c r="H968" s="8" t="s">
        <v>43</v>
      </c>
      <c r="I968" s="5">
        <v>1</v>
      </c>
      <c r="J968" s="10">
        <v>1762</v>
      </c>
      <c r="K968" s="10">
        <v>1762</v>
      </c>
      <c r="L968" s="10">
        <v>1148.1600000000001</v>
      </c>
      <c r="M968" s="10">
        <v>613.84</v>
      </c>
      <c r="N968" s="8" t="s">
        <v>21</v>
      </c>
      <c r="O968" s="8" t="s">
        <v>33</v>
      </c>
      <c r="P968" s="8" t="s">
        <v>29</v>
      </c>
      <c r="Q968" s="3">
        <f t="shared" si="16"/>
        <v>0.3483768444948922</v>
      </c>
      <c r="R968" s="8" t="str" cm="1">
        <f t="array" ref="R968">_xlfn.IFS(Q968&gt;40%,"Alta",Q968&gt;20%,"Média",Q968&lt;20%,"Baixa")</f>
        <v>Média</v>
      </c>
    </row>
    <row r="969" spans="1:18" x14ac:dyDescent="0.25">
      <c r="A969" s="5">
        <v>605</v>
      </c>
      <c r="B969" s="6">
        <v>45704</v>
      </c>
      <c r="C969" s="8" t="s">
        <v>16</v>
      </c>
      <c r="D969" s="8" t="s">
        <v>35</v>
      </c>
      <c r="E969" s="8" t="s">
        <v>25</v>
      </c>
      <c r="F969" s="5">
        <v>1151</v>
      </c>
      <c r="G969" s="8" t="s">
        <v>19</v>
      </c>
      <c r="H969" s="8" t="s">
        <v>38</v>
      </c>
      <c r="I969" s="5">
        <v>1</v>
      </c>
      <c r="J969" s="10">
        <v>1756</v>
      </c>
      <c r="K969" s="10">
        <v>1756</v>
      </c>
      <c r="L969" s="10">
        <v>745.84</v>
      </c>
      <c r="M969" s="10">
        <v>1010.16</v>
      </c>
      <c r="N969" s="8" t="s">
        <v>32</v>
      </c>
      <c r="O969" s="8" t="s">
        <v>22</v>
      </c>
      <c r="P969" s="8" t="s">
        <v>29</v>
      </c>
      <c r="Q969" s="3">
        <f t="shared" si="16"/>
        <v>0.57526195899772203</v>
      </c>
      <c r="R969" s="8" t="str" cm="1">
        <f t="array" ref="R969">_xlfn.IFS(Q969&gt;40%,"Alta",Q969&gt;20%,"Média",Q969&lt;20%,"Baixa")</f>
        <v>Alta</v>
      </c>
    </row>
    <row r="970" spans="1:18" x14ac:dyDescent="0.25">
      <c r="A970" s="5">
        <v>544</v>
      </c>
      <c r="B970" s="6">
        <v>45811</v>
      </c>
      <c r="C970" s="8" t="s">
        <v>34</v>
      </c>
      <c r="D970" s="8" t="s">
        <v>45</v>
      </c>
      <c r="E970" s="8" t="s">
        <v>18</v>
      </c>
      <c r="F970" s="5">
        <v>1844</v>
      </c>
      <c r="G970" s="8" t="s">
        <v>19</v>
      </c>
      <c r="H970" s="8" t="s">
        <v>27</v>
      </c>
      <c r="I970" s="5">
        <v>3</v>
      </c>
      <c r="J970" s="10">
        <v>585</v>
      </c>
      <c r="K970" s="10">
        <v>1755</v>
      </c>
      <c r="L970" s="10">
        <v>708.46</v>
      </c>
      <c r="M970" s="10">
        <v>1046.54</v>
      </c>
      <c r="N970" s="8" t="s">
        <v>32</v>
      </c>
      <c r="O970" s="8" t="s">
        <v>39</v>
      </c>
      <c r="P970" s="8" t="s">
        <v>23</v>
      </c>
      <c r="Q970" s="3">
        <f t="shared" si="16"/>
        <v>0.59631908831908831</v>
      </c>
      <c r="R970" s="8" t="str" cm="1">
        <f t="array" ref="R970">_xlfn.IFS(Q970&gt;40%,"Alta",Q970&gt;20%,"Média",Q970&lt;20%,"Baixa")</f>
        <v>Alta</v>
      </c>
    </row>
    <row r="971" spans="1:18" x14ac:dyDescent="0.25">
      <c r="A971" s="5">
        <v>391</v>
      </c>
      <c r="B971" s="6">
        <v>45823</v>
      </c>
      <c r="C971" s="8" t="s">
        <v>24</v>
      </c>
      <c r="D971" s="8" t="s">
        <v>45</v>
      </c>
      <c r="E971" s="8" t="s">
        <v>41</v>
      </c>
      <c r="F971" s="5">
        <v>1844</v>
      </c>
      <c r="G971" s="8" t="s">
        <v>19</v>
      </c>
      <c r="H971" s="8" t="s">
        <v>31</v>
      </c>
      <c r="I971" s="5">
        <v>6</v>
      </c>
      <c r="J971" s="10">
        <v>282</v>
      </c>
      <c r="K971" s="10">
        <v>1692</v>
      </c>
      <c r="L971" s="10">
        <v>787.36</v>
      </c>
      <c r="M971" s="10">
        <v>904.64</v>
      </c>
      <c r="N971" s="8" t="s">
        <v>28</v>
      </c>
      <c r="O971" s="8" t="s">
        <v>39</v>
      </c>
      <c r="P971" s="8" t="s">
        <v>40</v>
      </c>
      <c r="Q971" s="3">
        <f t="shared" si="16"/>
        <v>0.53465721040189129</v>
      </c>
      <c r="R971" s="8" t="str" cm="1">
        <f t="array" ref="R971">_xlfn.IFS(Q971&gt;40%,"Alta",Q971&gt;20%,"Média",Q971&lt;20%,"Baixa")</f>
        <v>Alta</v>
      </c>
    </row>
    <row r="972" spans="1:18" x14ac:dyDescent="0.25">
      <c r="A972" s="5">
        <v>78</v>
      </c>
      <c r="B972" s="6">
        <v>45781</v>
      </c>
      <c r="C972" s="8" t="s">
        <v>47</v>
      </c>
      <c r="D972" s="8" t="s">
        <v>42</v>
      </c>
      <c r="E972" s="8" t="s">
        <v>41</v>
      </c>
      <c r="F972" s="5">
        <v>1139</v>
      </c>
      <c r="G972" s="8" t="s">
        <v>36</v>
      </c>
      <c r="H972" s="8" t="s">
        <v>31</v>
      </c>
      <c r="I972" s="5">
        <v>8</v>
      </c>
      <c r="J972" s="10">
        <v>205</v>
      </c>
      <c r="K972" s="10">
        <v>1640</v>
      </c>
      <c r="L972" s="10">
        <v>1124.1099999999999</v>
      </c>
      <c r="M972" s="10">
        <v>515.89</v>
      </c>
      <c r="N972" s="8" t="s">
        <v>28</v>
      </c>
      <c r="O972" s="8" t="s">
        <v>33</v>
      </c>
      <c r="P972" s="8" t="s">
        <v>44</v>
      </c>
      <c r="Q972" s="3">
        <f t="shared" si="16"/>
        <v>0.31456707317073168</v>
      </c>
      <c r="R972" s="8" t="str" cm="1">
        <f t="array" ref="R972">_xlfn.IFS(Q972&gt;40%,"Alta",Q972&gt;20%,"Média",Q972&lt;20%,"Baixa")</f>
        <v>Média</v>
      </c>
    </row>
    <row r="973" spans="1:18" x14ac:dyDescent="0.25">
      <c r="A973" s="5">
        <v>574</v>
      </c>
      <c r="B973" s="6">
        <v>45730</v>
      </c>
      <c r="C973" s="8" t="s">
        <v>47</v>
      </c>
      <c r="D973" s="8" t="s">
        <v>45</v>
      </c>
      <c r="E973" s="8" t="s">
        <v>25</v>
      </c>
      <c r="F973" s="5">
        <v>2766</v>
      </c>
      <c r="G973" s="8" t="s">
        <v>26</v>
      </c>
      <c r="H973" s="8" t="s">
        <v>31</v>
      </c>
      <c r="I973" s="5">
        <v>5</v>
      </c>
      <c r="J973" s="10">
        <v>325</v>
      </c>
      <c r="K973" s="10">
        <v>1625</v>
      </c>
      <c r="L973" s="10">
        <v>1219.4000000000001</v>
      </c>
      <c r="M973" s="10">
        <v>405.6</v>
      </c>
      <c r="N973" s="8" t="s">
        <v>28</v>
      </c>
      <c r="O973" s="8" t="s">
        <v>39</v>
      </c>
      <c r="P973" s="8" t="s">
        <v>23</v>
      </c>
      <c r="Q973" s="3">
        <f t="shared" si="16"/>
        <v>0.24960000000000002</v>
      </c>
      <c r="R973" s="8" t="str" cm="1">
        <f t="array" ref="R973">_xlfn.IFS(Q973&gt;40%,"Alta",Q973&gt;20%,"Média",Q973&lt;20%,"Baixa")</f>
        <v>Média</v>
      </c>
    </row>
    <row r="974" spans="1:18" x14ac:dyDescent="0.25">
      <c r="A974" s="5">
        <v>178</v>
      </c>
      <c r="B974" s="6">
        <v>45828</v>
      </c>
      <c r="C974" s="8" t="s">
        <v>47</v>
      </c>
      <c r="D974" s="8" t="s">
        <v>42</v>
      </c>
      <c r="E974" s="8" t="s">
        <v>25</v>
      </c>
      <c r="F974" s="5">
        <v>1918</v>
      </c>
      <c r="G974" s="8" t="s">
        <v>36</v>
      </c>
      <c r="H974" s="8" t="s">
        <v>43</v>
      </c>
      <c r="I974" s="5">
        <v>8</v>
      </c>
      <c r="J974" s="10">
        <v>200</v>
      </c>
      <c r="K974" s="10">
        <v>1600</v>
      </c>
      <c r="L974" s="10">
        <v>730.02</v>
      </c>
      <c r="M974" s="10">
        <v>869.98</v>
      </c>
      <c r="N974" s="8" t="s">
        <v>21</v>
      </c>
      <c r="O974" s="8" t="s">
        <v>33</v>
      </c>
      <c r="P974" s="8" t="s">
        <v>23</v>
      </c>
      <c r="Q974" s="3">
        <f t="shared" si="16"/>
        <v>0.54373749999999998</v>
      </c>
      <c r="R974" s="8" t="str" cm="1">
        <f t="array" ref="R974">_xlfn.IFS(Q974&gt;40%,"Alta",Q974&gt;20%,"Média",Q974&lt;20%,"Baixa")</f>
        <v>Alta</v>
      </c>
    </row>
    <row r="975" spans="1:18" x14ac:dyDescent="0.25">
      <c r="A975" s="5">
        <v>236</v>
      </c>
      <c r="B975" s="6">
        <v>45697</v>
      </c>
      <c r="C975" s="8" t="s">
        <v>34</v>
      </c>
      <c r="D975" s="8" t="s">
        <v>17</v>
      </c>
      <c r="E975" s="8" t="s">
        <v>41</v>
      </c>
      <c r="F975" s="5">
        <v>6853</v>
      </c>
      <c r="G975" s="8" t="s">
        <v>36</v>
      </c>
      <c r="H975" s="8" t="s">
        <v>27</v>
      </c>
      <c r="I975" s="5">
        <v>7</v>
      </c>
      <c r="J975" s="10">
        <v>226</v>
      </c>
      <c r="K975" s="10">
        <v>1582</v>
      </c>
      <c r="L975" s="10">
        <v>1004.89</v>
      </c>
      <c r="M975" s="10">
        <v>577.11</v>
      </c>
      <c r="N975" s="8" t="s">
        <v>32</v>
      </c>
      <c r="O975" s="8" t="s">
        <v>33</v>
      </c>
      <c r="P975" s="8" t="s">
        <v>44</v>
      </c>
      <c r="Q975" s="3">
        <f t="shared" si="16"/>
        <v>0.36479772439949432</v>
      </c>
      <c r="R975" s="8" t="str" cm="1">
        <f t="array" ref="R975">_xlfn.IFS(Q975&gt;40%,"Alta",Q975&gt;20%,"Média",Q975&lt;20%,"Baixa")</f>
        <v>Média</v>
      </c>
    </row>
    <row r="976" spans="1:18" x14ac:dyDescent="0.25">
      <c r="A976" s="5">
        <v>446</v>
      </c>
      <c r="B976" s="6">
        <v>45707</v>
      </c>
      <c r="C976" s="8" t="s">
        <v>24</v>
      </c>
      <c r="D976" s="8" t="s">
        <v>17</v>
      </c>
      <c r="E976" s="8" t="s">
        <v>37</v>
      </c>
      <c r="F976" s="5">
        <v>2598</v>
      </c>
      <c r="G976" s="8" t="s">
        <v>26</v>
      </c>
      <c r="H976" s="8" t="s">
        <v>20</v>
      </c>
      <c r="I976" s="5">
        <v>4</v>
      </c>
      <c r="J976" s="10">
        <v>389</v>
      </c>
      <c r="K976" s="10">
        <v>1556</v>
      </c>
      <c r="L976" s="10">
        <v>1160.23</v>
      </c>
      <c r="M976" s="10">
        <v>395.77</v>
      </c>
      <c r="N976" s="8" t="s">
        <v>28</v>
      </c>
      <c r="O976" s="8" t="s">
        <v>39</v>
      </c>
      <c r="P976" s="8" t="s">
        <v>23</v>
      </c>
      <c r="Q976" s="3">
        <f t="shared" si="16"/>
        <v>0.25435089974293057</v>
      </c>
      <c r="R976" s="8" t="str" cm="1">
        <f t="array" ref="R976">_xlfn.IFS(Q976&gt;40%,"Alta",Q976&gt;20%,"Média",Q976&lt;20%,"Baixa")</f>
        <v>Média</v>
      </c>
    </row>
    <row r="977" spans="1:18" x14ac:dyDescent="0.25">
      <c r="A977" s="5">
        <v>538</v>
      </c>
      <c r="B977" s="6">
        <v>45807</v>
      </c>
      <c r="C977" s="8" t="s">
        <v>47</v>
      </c>
      <c r="D977" s="8" t="s">
        <v>35</v>
      </c>
      <c r="E977" s="8" t="s">
        <v>18</v>
      </c>
      <c r="F977" s="5">
        <v>9621</v>
      </c>
      <c r="G977" s="8" t="s">
        <v>19</v>
      </c>
      <c r="H977" s="8" t="s">
        <v>27</v>
      </c>
      <c r="I977" s="5">
        <v>2</v>
      </c>
      <c r="J977" s="10">
        <v>771</v>
      </c>
      <c r="K977" s="10">
        <v>1542</v>
      </c>
      <c r="L977" s="10">
        <v>736.23</v>
      </c>
      <c r="M977" s="10">
        <v>805.77</v>
      </c>
      <c r="N977" s="8" t="s">
        <v>28</v>
      </c>
      <c r="O977" s="8" t="s">
        <v>22</v>
      </c>
      <c r="P977" s="8" t="s">
        <v>44</v>
      </c>
      <c r="Q977" s="3">
        <f t="shared" si="16"/>
        <v>0.52254863813229568</v>
      </c>
      <c r="R977" s="8" t="str" cm="1">
        <f t="array" ref="R977">_xlfn.IFS(Q977&gt;40%,"Alta",Q977&gt;20%,"Média",Q977&lt;20%,"Baixa")</f>
        <v>Alta</v>
      </c>
    </row>
    <row r="978" spans="1:18" x14ac:dyDescent="0.25">
      <c r="A978" s="5">
        <v>328</v>
      </c>
      <c r="B978" s="6">
        <v>45683</v>
      </c>
      <c r="C978" s="8" t="s">
        <v>16</v>
      </c>
      <c r="D978" s="8" t="s">
        <v>45</v>
      </c>
      <c r="E978" s="8" t="s">
        <v>18</v>
      </c>
      <c r="F978" s="5">
        <v>7576</v>
      </c>
      <c r="G978" s="8" t="s">
        <v>26</v>
      </c>
      <c r="H978" s="8" t="s">
        <v>31</v>
      </c>
      <c r="I978" s="5">
        <v>1</v>
      </c>
      <c r="J978" s="10">
        <v>1504</v>
      </c>
      <c r="K978" s="10">
        <v>1504</v>
      </c>
      <c r="L978" s="10">
        <v>974.83</v>
      </c>
      <c r="M978" s="10">
        <v>529.16999999999996</v>
      </c>
      <c r="N978" s="8" t="s">
        <v>21</v>
      </c>
      <c r="O978" s="8" t="s">
        <v>22</v>
      </c>
      <c r="P978" s="8" t="s">
        <v>44</v>
      </c>
      <c r="Q978" s="3">
        <f t="shared" si="16"/>
        <v>0.35184175531914891</v>
      </c>
      <c r="R978" s="8" t="str" cm="1">
        <f t="array" ref="R978">_xlfn.IFS(Q978&gt;40%,"Alta",Q978&gt;20%,"Média",Q978&lt;20%,"Baixa")</f>
        <v>Média</v>
      </c>
    </row>
    <row r="979" spans="1:18" x14ac:dyDescent="0.25">
      <c r="A979" s="5">
        <v>403</v>
      </c>
      <c r="B979" s="6">
        <v>45781</v>
      </c>
      <c r="C979" s="8" t="s">
        <v>16</v>
      </c>
      <c r="D979" s="8" t="s">
        <v>42</v>
      </c>
      <c r="E979" s="8" t="s">
        <v>18</v>
      </c>
      <c r="F979" s="5">
        <v>5406</v>
      </c>
      <c r="G979" s="8" t="s">
        <v>19</v>
      </c>
      <c r="H979" s="8" t="s">
        <v>38</v>
      </c>
      <c r="I979" s="5">
        <v>1</v>
      </c>
      <c r="J979" s="10">
        <v>1462</v>
      </c>
      <c r="K979" s="10">
        <v>1462</v>
      </c>
      <c r="L979" s="10">
        <v>1006.4</v>
      </c>
      <c r="M979" s="10">
        <v>455.6</v>
      </c>
      <c r="N979" s="8" t="s">
        <v>21</v>
      </c>
      <c r="O979" s="8" t="s">
        <v>33</v>
      </c>
      <c r="P979" s="8" t="s">
        <v>40</v>
      </c>
      <c r="Q979" s="3">
        <f t="shared" si="16"/>
        <v>0.3116279069767442</v>
      </c>
      <c r="R979" s="8" t="str" cm="1">
        <f t="array" ref="R979">_xlfn.IFS(Q979&gt;40%,"Alta",Q979&gt;20%,"Média",Q979&lt;20%,"Baixa")</f>
        <v>Média</v>
      </c>
    </row>
    <row r="980" spans="1:18" x14ac:dyDescent="0.25">
      <c r="A980" s="5">
        <v>325</v>
      </c>
      <c r="B980" s="6">
        <v>45821</v>
      </c>
      <c r="C980" s="8" t="s">
        <v>34</v>
      </c>
      <c r="D980" s="8" t="s">
        <v>42</v>
      </c>
      <c r="E980" s="8" t="s">
        <v>41</v>
      </c>
      <c r="F980" s="5">
        <v>6840</v>
      </c>
      <c r="G980" s="8" t="s">
        <v>19</v>
      </c>
      <c r="H980" s="8" t="s">
        <v>27</v>
      </c>
      <c r="I980" s="5">
        <v>5</v>
      </c>
      <c r="J980" s="10">
        <v>280</v>
      </c>
      <c r="K980" s="10">
        <v>1400</v>
      </c>
      <c r="L980" s="10">
        <v>1061.71</v>
      </c>
      <c r="M980" s="10">
        <v>338.29</v>
      </c>
      <c r="N980" s="8" t="s">
        <v>28</v>
      </c>
      <c r="O980" s="8" t="s">
        <v>33</v>
      </c>
      <c r="P980" s="8" t="s">
        <v>44</v>
      </c>
      <c r="Q980" s="3">
        <f t="shared" si="16"/>
        <v>0.24163571428571429</v>
      </c>
      <c r="R980" s="8" t="str" cm="1">
        <f t="array" ref="R980">_xlfn.IFS(Q980&gt;40%,"Alta",Q980&gt;20%,"Média",Q980&lt;20%,"Baixa")</f>
        <v>Média</v>
      </c>
    </row>
    <row r="981" spans="1:18" x14ac:dyDescent="0.25">
      <c r="A981" s="5">
        <v>793</v>
      </c>
      <c r="B981" s="6">
        <v>45682</v>
      </c>
      <c r="C981" s="8" t="s">
        <v>24</v>
      </c>
      <c r="D981" s="8" t="s">
        <v>30</v>
      </c>
      <c r="E981" s="8" t="s">
        <v>18</v>
      </c>
      <c r="F981" s="5">
        <v>5375</v>
      </c>
      <c r="G981" s="8" t="s">
        <v>26</v>
      </c>
      <c r="H981" s="8" t="s">
        <v>20</v>
      </c>
      <c r="I981" s="5">
        <v>2</v>
      </c>
      <c r="J981" s="10">
        <v>694</v>
      </c>
      <c r="K981" s="10">
        <v>1388</v>
      </c>
      <c r="L981" s="10">
        <v>986.83</v>
      </c>
      <c r="M981" s="10">
        <v>401.17</v>
      </c>
      <c r="N981" s="8" t="s">
        <v>32</v>
      </c>
      <c r="O981" s="8" t="s">
        <v>22</v>
      </c>
      <c r="P981" s="8" t="s">
        <v>29</v>
      </c>
      <c r="Q981" s="3">
        <f t="shared" si="16"/>
        <v>0.28902737752161384</v>
      </c>
      <c r="R981" s="8" t="str" cm="1">
        <f t="array" ref="R981">_xlfn.IFS(Q981&gt;40%,"Alta",Q981&gt;20%,"Média",Q981&lt;20%,"Baixa")</f>
        <v>Média</v>
      </c>
    </row>
    <row r="982" spans="1:18" x14ac:dyDescent="0.25">
      <c r="A982" s="5">
        <v>28</v>
      </c>
      <c r="B982" s="6">
        <v>45795</v>
      </c>
      <c r="C982" s="8" t="s">
        <v>34</v>
      </c>
      <c r="D982" s="8" t="s">
        <v>45</v>
      </c>
      <c r="E982" s="8" t="s">
        <v>41</v>
      </c>
      <c r="F982" s="5">
        <v>4995</v>
      </c>
      <c r="G982" s="8" t="s">
        <v>36</v>
      </c>
      <c r="H982" s="8" t="s">
        <v>31</v>
      </c>
      <c r="I982" s="5">
        <v>2</v>
      </c>
      <c r="J982" s="10">
        <v>662</v>
      </c>
      <c r="K982" s="10">
        <v>1324</v>
      </c>
      <c r="L982" s="10">
        <v>546.13</v>
      </c>
      <c r="M982" s="10">
        <v>777.87</v>
      </c>
      <c r="N982" s="8" t="s">
        <v>28</v>
      </c>
      <c r="O982" s="8" t="s">
        <v>39</v>
      </c>
      <c r="P982" s="8" t="s">
        <v>46</v>
      </c>
      <c r="Q982" s="3">
        <f t="shared" si="16"/>
        <v>0.58751510574018129</v>
      </c>
      <c r="R982" s="8" t="str" cm="1">
        <f t="array" ref="R982">_xlfn.IFS(Q982&gt;40%,"Alta",Q982&gt;20%,"Média",Q982&lt;20%,"Baixa")</f>
        <v>Alta</v>
      </c>
    </row>
    <row r="983" spans="1:18" x14ac:dyDescent="0.25">
      <c r="A983" s="5">
        <v>766</v>
      </c>
      <c r="B983" s="6">
        <v>45682</v>
      </c>
      <c r="C983" s="8" t="s">
        <v>34</v>
      </c>
      <c r="D983" s="8" t="s">
        <v>35</v>
      </c>
      <c r="E983" s="8" t="s">
        <v>37</v>
      </c>
      <c r="F983" s="5">
        <v>8856</v>
      </c>
      <c r="G983" s="8" t="s">
        <v>19</v>
      </c>
      <c r="H983" s="8" t="s">
        <v>27</v>
      </c>
      <c r="I983" s="5">
        <v>1</v>
      </c>
      <c r="J983" s="10">
        <v>1243</v>
      </c>
      <c r="K983" s="10">
        <v>1243</v>
      </c>
      <c r="L983" s="10">
        <v>993.42</v>
      </c>
      <c r="M983" s="10">
        <v>249.58</v>
      </c>
      <c r="N983" s="8" t="s">
        <v>28</v>
      </c>
      <c r="O983" s="8" t="s">
        <v>33</v>
      </c>
      <c r="P983" s="8" t="s">
        <v>40</v>
      </c>
      <c r="Q983" s="3">
        <f t="shared" si="16"/>
        <v>0.20078841512469833</v>
      </c>
      <c r="R983" s="8" t="str" cm="1">
        <f t="array" ref="R983">_xlfn.IFS(Q983&gt;40%,"Alta",Q983&gt;20%,"Média",Q983&lt;20%,"Baixa")</f>
        <v>Média</v>
      </c>
    </row>
    <row r="984" spans="1:18" x14ac:dyDescent="0.25">
      <c r="A984" s="5">
        <v>494</v>
      </c>
      <c r="B984" s="6">
        <v>45750</v>
      </c>
      <c r="C984" s="8" t="s">
        <v>24</v>
      </c>
      <c r="D984" s="8" t="s">
        <v>42</v>
      </c>
      <c r="E984" s="8" t="s">
        <v>41</v>
      </c>
      <c r="F984" s="5">
        <v>3735</v>
      </c>
      <c r="G984" s="8" t="s">
        <v>26</v>
      </c>
      <c r="H984" s="8" t="s">
        <v>20</v>
      </c>
      <c r="I984" s="5">
        <v>5</v>
      </c>
      <c r="J984" s="10">
        <v>248</v>
      </c>
      <c r="K984" s="10">
        <v>1240</v>
      </c>
      <c r="L984" s="10">
        <v>935.45</v>
      </c>
      <c r="M984" s="10">
        <v>304.55</v>
      </c>
      <c r="N984" s="8" t="s">
        <v>28</v>
      </c>
      <c r="O984" s="8" t="s">
        <v>39</v>
      </c>
      <c r="P984" s="8" t="s">
        <v>46</v>
      </c>
      <c r="Q984" s="3">
        <f t="shared" si="16"/>
        <v>0.24560483870967742</v>
      </c>
      <c r="R984" s="8" t="str" cm="1">
        <f t="array" ref="R984">_xlfn.IFS(Q984&gt;40%,"Alta",Q984&gt;20%,"Média",Q984&lt;20%,"Baixa")</f>
        <v>Média</v>
      </c>
    </row>
    <row r="985" spans="1:18" x14ac:dyDescent="0.25">
      <c r="A985" s="5">
        <v>443</v>
      </c>
      <c r="B985" s="6">
        <v>45829</v>
      </c>
      <c r="C985" s="8" t="s">
        <v>24</v>
      </c>
      <c r="D985" s="8" t="s">
        <v>17</v>
      </c>
      <c r="E985" s="8" t="s">
        <v>37</v>
      </c>
      <c r="F985" s="5">
        <v>1283</v>
      </c>
      <c r="G985" s="8" t="s">
        <v>36</v>
      </c>
      <c r="H985" s="8" t="s">
        <v>38</v>
      </c>
      <c r="I985" s="5">
        <v>2</v>
      </c>
      <c r="J985" s="10">
        <v>584</v>
      </c>
      <c r="K985" s="10">
        <v>1168</v>
      </c>
      <c r="L985" s="10">
        <v>483.08</v>
      </c>
      <c r="M985" s="10">
        <v>684.92</v>
      </c>
      <c r="N985" s="8" t="s">
        <v>32</v>
      </c>
      <c r="O985" s="8" t="s">
        <v>39</v>
      </c>
      <c r="P985" s="8" t="s">
        <v>40</v>
      </c>
      <c r="Q985" s="3">
        <f t="shared" si="16"/>
        <v>0.5864041095890411</v>
      </c>
      <c r="R985" s="8" t="str" cm="1">
        <f t="array" ref="R985">_xlfn.IFS(Q985&gt;40%,"Alta",Q985&gt;20%,"Média",Q985&lt;20%,"Baixa")</f>
        <v>Alta</v>
      </c>
    </row>
    <row r="986" spans="1:18" x14ac:dyDescent="0.25">
      <c r="A986" s="5">
        <v>969</v>
      </c>
      <c r="B986" s="6">
        <v>45809</v>
      </c>
      <c r="C986" s="8" t="s">
        <v>24</v>
      </c>
      <c r="D986" s="8" t="s">
        <v>17</v>
      </c>
      <c r="E986" s="8" t="s">
        <v>41</v>
      </c>
      <c r="F986" s="5">
        <v>1015</v>
      </c>
      <c r="G986" s="8" t="s">
        <v>36</v>
      </c>
      <c r="H986" s="8" t="s">
        <v>31</v>
      </c>
      <c r="I986" s="5">
        <v>2</v>
      </c>
      <c r="J986" s="10">
        <v>579</v>
      </c>
      <c r="K986" s="10">
        <v>1158</v>
      </c>
      <c r="L986" s="10">
        <v>761.28</v>
      </c>
      <c r="M986" s="10">
        <v>396.72</v>
      </c>
      <c r="N986" s="8" t="s">
        <v>32</v>
      </c>
      <c r="O986" s="8" t="s">
        <v>22</v>
      </c>
      <c r="P986" s="8" t="s">
        <v>46</v>
      </c>
      <c r="Q986" s="3">
        <f t="shared" si="16"/>
        <v>0.34259067357512957</v>
      </c>
      <c r="R986" s="8" t="str" cm="1">
        <f t="array" ref="R986">_xlfn.IFS(Q986&gt;40%,"Alta",Q986&gt;20%,"Média",Q986&lt;20%,"Baixa")</f>
        <v>Média</v>
      </c>
    </row>
    <row r="987" spans="1:18" x14ac:dyDescent="0.25">
      <c r="A987" s="5">
        <v>723</v>
      </c>
      <c r="B987" s="6">
        <v>45818</v>
      </c>
      <c r="C987" s="8" t="s">
        <v>34</v>
      </c>
      <c r="D987" s="8" t="s">
        <v>17</v>
      </c>
      <c r="E987" s="8" t="s">
        <v>37</v>
      </c>
      <c r="F987" s="5">
        <v>1589</v>
      </c>
      <c r="G987" s="8" t="s">
        <v>19</v>
      </c>
      <c r="H987" s="8" t="s">
        <v>31</v>
      </c>
      <c r="I987" s="5">
        <v>3</v>
      </c>
      <c r="J987" s="10">
        <v>378</v>
      </c>
      <c r="K987" s="10">
        <v>1134</v>
      </c>
      <c r="L987" s="10">
        <v>503.94</v>
      </c>
      <c r="M987" s="10">
        <v>630.05999999999995</v>
      </c>
      <c r="N987" s="8" t="s">
        <v>21</v>
      </c>
      <c r="O987" s="8" t="s">
        <v>39</v>
      </c>
      <c r="P987" s="8" t="s">
        <v>46</v>
      </c>
      <c r="Q987" s="3">
        <f t="shared" si="16"/>
        <v>0.55560846560846555</v>
      </c>
      <c r="R987" s="8" t="str" cm="1">
        <f t="array" ref="R987">_xlfn.IFS(Q987&gt;40%,"Alta",Q987&gt;20%,"Média",Q987&lt;20%,"Baixa")</f>
        <v>Alta</v>
      </c>
    </row>
    <row r="988" spans="1:18" x14ac:dyDescent="0.25">
      <c r="A988" s="5">
        <v>87</v>
      </c>
      <c r="B988" s="6">
        <v>45735</v>
      </c>
      <c r="C988" s="8" t="s">
        <v>47</v>
      </c>
      <c r="D988" s="8" t="s">
        <v>35</v>
      </c>
      <c r="E988" s="8" t="s">
        <v>18</v>
      </c>
      <c r="F988" s="5">
        <v>9688</v>
      </c>
      <c r="G988" s="8" t="s">
        <v>36</v>
      </c>
      <c r="H988" s="8" t="s">
        <v>20</v>
      </c>
      <c r="I988" s="5">
        <v>2</v>
      </c>
      <c r="J988" s="10">
        <v>551</v>
      </c>
      <c r="K988" s="10">
        <v>1102</v>
      </c>
      <c r="L988" s="10">
        <v>658.71</v>
      </c>
      <c r="M988" s="10">
        <v>443.29</v>
      </c>
      <c r="N988" s="8" t="s">
        <v>28</v>
      </c>
      <c r="O988" s="8" t="s">
        <v>33</v>
      </c>
      <c r="P988" s="8" t="s">
        <v>46</v>
      </c>
      <c r="Q988" s="3">
        <f t="shared" si="16"/>
        <v>0.40225952813067151</v>
      </c>
      <c r="R988" s="8" t="str" cm="1">
        <f t="array" ref="R988">_xlfn.IFS(Q988&gt;40%,"Alta",Q988&gt;20%,"Média",Q988&lt;20%,"Baixa")</f>
        <v>Alta</v>
      </c>
    </row>
    <row r="989" spans="1:18" x14ac:dyDescent="0.25">
      <c r="A989" s="5">
        <v>615</v>
      </c>
      <c r="B989" s="6">
        <v>45693</v>
      </c>
      <c r="C989" s="8" t="s">
        <v>47</v>
      </c>
      <c r="D989" s="8" t="s">
        <v>35</v>
      </c>
      <c r="E989" s="8" t="s">
        <v>25</v>
      </c>
      <c r="F989" s="5">
        <v>1045</v>
      </c>
      <c r="G989" s="8" t="s">
        <v>26</v>
      </c>
      <c r="H989" s="8" t="s">
        <v>38</v>
      </c>
      <c r="I989" s="5">
        <v>1</v>
      </c>
      <c r="J989" s="10">
        <v>976</v>
      </c>
      <c r="K989" s="10">
        <v>976</v>
      </c>
      <c r="L989" s="10">
        <v>422.13</v>
      </c>
      <c r="M989" s="10">
        <v>553.87</v>
      </c>
      <c r="N989" s="8" t="s">
        <v>32</v>
      </c>
      <c r="O989" s="8" t="s">
        <v>39</v>
      </c>
      <c r="P989" s="8" t="s">
        <v>23</v>
      </c>
      <c r="Q989" s="3">
        <f t="shared" si="16"/>
        <v>0.56748975409836067</v>
      </c>
      <c r="R989" s="8" t="str" cm="1">
        <f t="array" ref="R989">_xlfn.IFS(Q989&gt;40%,"Alta",Q989&gt;20%,"Média",Q989&lt;20%,"Baixa")</f>
        <v>Alta</v>
      </c>
    </row>
    <row r="990" spans="1:18" x14ac:dyDescent="0.25">
      <c r="A990" s="5">
        <v>264</v>
      </c>
      <c r="B990" s="6">
        <v>45732</v>
      </c>
      <c r="C990" s="8" t="s">
        <v>34</v>
      </c>
      <c r="D990" s="8" t="s">
        <v>42</v>
      </c>
      <c r="E990" s="8" t="s">
        <v>37</v>
      </c>
      <c r="F990" s="5">
        <v>8911</v>
      </c>
      <c r="G990" s="8" t="s">
        <v>26</v>
      </c>
      <c r="H990" s="8" t="s">
        <v>27</v>
      </c>
      <c r="I990" s="5">
        <v>1</v>
      </c>
      <c r="J990" s="10">
        <v>938</v>
      </c>
      <c r="K990" s="10">
        <v>938</v>
      </c>
      <c r="L990" s="10">
        <v>457.77</v>
      </c>
      <c r="M990" s="10">
        <v>480.23</v>
      </c>
      <c r="N990" s="8" t="s">
        <v>21</v>
      </c>
      <c r="O990" s="8" t="s">
        <v>22</v>
      </c>
      <c r="P990" s="8" t="s">
        <v>40</v>
      </c>
      <c r="Q990" s="3">
        <f t="shared" si="16"/>
        <v>0.51197228144989337</v>
      </c>
      <c r="R990" s="8" t="str" cm="1">
        <f t="array" ref="R990">_xlfn.IFS(Q990&gt;40%,"Alta",Q990&gt;20%,"Média",Q990&lt;20%,"Baixa")</f>
        <v>Alta</v>
      </c>
    </row>
    <row r="991" spans="1:18" x14ac:dyDescent="0.25">
      <c r="A991" s="5">
        <v>453</v>
      </c>
      <c r="B991" s="6">
        <v>45725</v>
      </c>
      <c r="C991" s="8" t="s">
        <v>47</v>
      </c>
      <c r="D991" s="8" t="s">
        <v>45</v>
      </c>
      <c r="E991" s="8" t="s">
        <v>37</v>
      </c>
      <c r="F991" s="5">
        <v>5421</v>
      </c>
      <c r="G991" s="8" t="s">
        <v>19</v>
      </c>
      <c r="H991" s="8" t="s">
        <v>27</v>
      </c>
      <c r="I991" s="5">
        <v>2</v>
      </c>
      <c r="J991" s="10">
        <v>469</v>
      </c>
      <c r="K991" s="10">
        <v>938</v>
      </c>
      <c r="L991" s="10">
        <v>717.07</v>
      </c>
      <c r="M991" s="10">
        <v>220.93</v>
      </c>
      <c r="N991" s="8" t="s">
        <v>21</v>
      </c>
      <c r="O991" s="8" t="s">
        <v>39</v>
      </c>
      <c r="P991" s="8" t="s">
        <v>46</v>
      </c>
      <c r="Q991" s="3">
        <f t="shared" si="16"/>
        <v>0.23553304904051173</v>
      </c>
      <c r="R991" s="8" t="str" cm="1">
        <f t="array" ref="R991">_xlfn.IFS(Q991&gt;40%,"Alta",Q991&gt;20%,"Média",Q991&lt;20%,"Baixa")</f>
        <v>Média</v>
      </c>
    </row>
    <row r="992" spans="1:18" x14ac:dyDescent="0.25">
      <c r="A992" s="5">
        <v>973</v>
      </c>
      <c r="B992" s="6">
        <v>45666</v>
      </c>
      <c r="C992" s="8" t="s">
        <v>47</v>
      </c>
      <c r="D992" s="8" t="s">
        <v>35</v>
      </c>
      <c r="E992" s="8" t="s">
        <v>41</v>
      </c>
      <c r="F992" s="5">
        <v>6706</v>
      </c>
      <c r="G992" s="8" t="s">
        <v>26</v>
      </c>
      <c r="H992" s="8" t="s">
        <v>38</v>
      </c>
      <c r="I992" s="5">
        <v>1</v>
      </c>
      <c r="J992" s="10">
        <v>890</v>
      </c>
      <c r="K992" s="10">
        <v>890</v>
      </c>
      <c r="L992" s="10">
        <v>566.84</v>
      </c>
      <c r="M992" s="10">
        <v>323.16000000000003</v>
      </c>
      <c r="N992" s="8" t="s">
        <v>32</v>
      </c>
      <c r="O992" s="8" t="s">
        <v>33</v>
      </c>
      <c r="P992" s="8" t="s">
        <v>44</v>
      </c>
      <c r="Q992" s="3">
        <f t="shared" si="16"/>
        <v>0.36310112359550567</v>
      </c>
      <c r="R992" s="8" t="str" cm="1">
        <f t="array" ref="R992">_xlfn.IFS(Q992&gt;40%,"Alta",Q992&gt;20%,"Média",Q992&lt;20%,"Baixa")</f>
        <v>Média</v>
      </c>
    </row>
    <row r="993" spans="1:18" x14ac:dyDescent="0.25">
      <c r="A993" s="5">
        <v>503</v>
      </c>
      <c r="B993" s="6">
        <v>45762</v>
      </c>
      <c r="C993" s="8" t="s">
        <v>47</v>
      </c>
      <c r="D993" s="8" t="s">
        <v>30</v>
      </c>
      <c r="E993" s="8" t="s">
        <v>41</v>
      </c>
      <c r="F993" s="5">
        <v>5410</v>
      </c>
      <c r="G993" s="8" t="s">
        <v>26</v>
      </c>
      <c r="H993" s="8" t="s">
        <v>27</v>
      </c>
      <c r="I993" s="5">
        <v>3</v>
      </c>
      <c r="J993" s="10">
        <v>272</v>
      </c>
      <c r="K993" s="10">
        <v>816</v>
      </c>
      <c r="L993" s="10">
        <v>500.33</v>
      </c>
      <c r="M993" s="10">
        <v>315.67</v>
      </c>
      <c r="N993" s="8" t="s">
        <v>28</v>
      </c>
      <c r="O993" s="8" t="s">
        <v>33</v>
      </c>
      <c r="P993" s="8" t="s">
        <v>44</v>
      </c>
      <c r="Q993" s="3">
        <f t="shared" si="16"/>
        <v>0.38685049019607848</v>
      </c>
      <c r="R993" s="8" t="str" cm="1">
        <f t="array" ref="R993">_xlfn.IFS(Q993&gt;40%,"Alta",Q993&gt;20%,"Média",Q993&lt;20%,"Baixa")</f>
        <v>Média</v>
      </c>
    </row>
    <row r="994" spans="1:18" x14ac:dyDescent="0.25">
      <c r="A994" s="5">
        <v>255</v>
      </c>
      <c r="B994" s="6">
        <v>45734</v>
      </c>
      <c r="C994" s="8" t="s">
        <v>16</v>
      </c>
      <c r="D994" s="8" t="s">
        <v>35</v>
      </c>
      <c r="E994" s="8" t="s">
        <v>18</v>
      </c>
      <c r="F994" s="5">
        <v>6820</v>
      </c>
      <c r="G994" s="8" t="s">
        <v>36</v>
      </c>
      <c r="H994" s="8" t="s">
        <v>43</v>
      </c>
      <c r="I994" s="5">
        <v>1</v>
      </c>
      <c r="J994" s="10">
        <v>796</v>
      </c>
      <c r="K994" s="10">
        <v>796</v>
      </c>
      <c r="L994" s="10">
        <v>611.14</v>
      </c>
      <c r="M994" s="10">
        <v>184.86</v>
      </c>
      <c r="N994" s="8" t="s">
        <v>32</v>
      </c>
      <c r="O994" s="8" t="s">
        <v>22</v>
      </c>
      <c r="P994" s="8" t="s">
        <v>46</v>
      </c>
      <c r="Q994" s="3">
        <f t="shared" si="16"/>
        <v>0.23223618090452264</v>
      </c>
      <c r="R994" s="8" t="str" cm="1">
        <f t="array" ref="R994">_xlfn.IFS(Q994&gt;40%,"Alta",Q994&gt;20%,"Média",Q994&lt;20%,"Baixa")</f>
        <v>Média</v>
      </c>
    </row>
    <row r="995" spans="1:18" x14ac:dyDescent="0.25">
      <c r="A995" s="5">
        <v>757</v>
      </c>
      <c r="B995" s="6">
        <v>45795</v>
      </c>
      <c r="C995" s="8" t="s">
        <v>34</v>
      </c>
      <c r="D995" s="8" t="s">
        <v>42</v>
      </c>
      <c r="E995" s="8" t="s">
        <v>18</v>
      </c>
      <c r="F995" s="5">
        <v>6265</v>
      </c>
      <c r="G995" s="8" t="s">
        <v>36</v>
      </c>
      <c r="H995" s="8" t="s">
        <v>31</v>
      </c>
      <c r="I995" s="5">
        <v>2</v>
      </c>
      <c r="J995" s="10">
        <v>363</v>
      </c>
      <c r="K995" s="10">
        <v>726</v>
      </c>
      <c r="L995" s="10">
        <v>358.86</v>
      </c>
      <c r="M995" s="10">
        <v>367.14</v>
      </c>
      <c r="N995" s="8" t="s">
        <v>32</v>
      </c>
      <c r="O995" s="8" t="s">
        <v>39</v>
      </c>
      <c r="P995" s="8" t="s">
        <v>23</v>
      </c>
      <c r="Q995" s="3">
        <f t="shared" si="16"/>
        <v>0.50570247933884294</v>
      </c>
      <c r="R995" s="8" t="str" cm="1">
        <f t="array" ref="R995">_xlfn.IFS(Q995&gt;40%,"Alta",Q995&gt;20%,"Média",Q995&lt;20%,"Baixa")</f>
        <v>Alta</v>
      </c>
    </row>
    <row r="996" spans="1:18" x14ac:dyDescent="0.25">
      <c r="A996" s="5">
        <v>65</v>
      </c>
      <c r="B996" s="6">
        <v>45705</v>
      </c>
      <c r="C996" s="8" t="s">
        <v>24</v>
      </c>
      <c r="D996" s="8" t="s">
        <v>35</v>
      </c>
      <c r="E996" s="8" t="s">
        <v>41</v>
      </c>
      <c r="F996" s="5">
        <v>2589</v>
      </c>
      <c r="G996" s="8" t="s">
        <v>36</v>
      </c>
      <c r="H996" s="8" t="s">
        <v>38</v>
      </c>
      <c r="I996" s="5">
        <v>1</v>
      </c>
      <c r="J996" s="10">
        <v>703</v>
      </c>
      <c r="K996" s="10">
        <v>703</v>
      </c>
      <c r="L996" s="10">
        <v>424.19</v>
      </c>
      <c r="M996" s="10">
        <v>278.81</v>
      </c>
      <c r="N996" s="8" t="s">
        <v>21</v>
      </c>
      <c r="O996" s="8" t="s">
        <v>39</v>
      </c>
      <c r="P996" s="8" t="s">
        <v>44</v>
      </c>
      <c r="Q996" s="3">
        <f t="shared" si="16"/>
        <v>0.39660028449502133</v>
      </c>
      <c r="R996" s="8" t="str" cm="1">
        <f t="array" ref="R996">_xlfn.IFS(Q996&gt;40%,"Alta",Q996&gt;20%,"Média",Q996&lt;20%,"Baixa")</f>
        <v>Média</v>
      </c>
    </row>
    <row r="997" spans="1:18" x14ac:dyDescent="0.25">
      <c r="A997" s="5">
        <v>363</v>
      </c>
      <c r="B997" s="6">
        <v>45688</v>
      </c>
      <c r="C997" s="8" t="s">
        <v>47</v>
      </c>
      <c r="D997" s="8" t="s">
        <v>35</v>
      </c>
      <c r="E997" s="8" t="s">
        <v>37</v>
      </c>
      <c r="F997" s="5">
        <v>8860</v>
      </c>
      <c r="G997" s="8" t="s">
        <v>26</v>
      </c>
      <c r="H997" s="8" t="s">
        <v>38</v>
      </c>
      <c r="I997" s="5">
        <v>1</v>
      </c>
      <c r="J997" s="10">
        <v>665</v>
      </c>
      <c r="K997" s="10">
        <v>665</v>
      </c>
      <c r="L997" s="10">
        <v>322.08999999999997</v>
      </c>
      <c r="M997" s="10">
        <v>342.91</v>
      </c>
      <c r="N997" s="8" t="s">
        <v>32</v>
      </c>
      <c r="O997" s="8" t="s">
        <v>33</v>
      </c>
      <c r="P997" s="8" t="s">
        <v>46</v>
      </c>
      <c r="Q997" s="3">
        <f t="shared" si="16"/>
        <v>0.51565413533834592</v>
      </c>
      <c r="R997" s="8" t="str" cm="1">
        <f t="array" ref="R997">_xlfn.IFS(Q997&gt;40%,"Alta",Q997&gt;20%,"Média",Q997&lt;20%,"Baixa")</f>
        <v>Alta</v>
      </c>
    </row>
    <row r="998" spans="1:18" x14ac:dyDescent="0.25">
      <c r="A998" s="5">
        <v>687</v>
      </c>
      <c r="B998" s="6">
        <v>45745</v>
      </c>
      <c r="C998" s="8" t="s">
        <v>34</v>
      </c>
      <c r="D998" s="8" t="s">
        <v>17</v>
      </c>
      <c r="E998" s="8" t="s">
        <v>18</v>
      </c>
      <c r="F998" s="5">
        <v>7043</v>
      </c>
      <c r="G998" s="8" t="s">
        <v>26</v>
      </c>
      <c r="H998" s="8" t="s">
        <v>43</v>
      </c>
      <c r="I998" s="5">
        <v>1</v>
      </c>
      <c r="J998" s="10">
        <v>551</v>
      </c>
      <c r="K998" s="10">
        <v>551</v>
      </c>
      <c r="L998" s="10">
        <v>297.58</v>
      </c>
      <c r="M998" s="10">
        <v>253.42</v>
      </c>
      <c r="N998" s="8" t="s">
        <v>21</v>
      </c>
      <c r="O998" s="8" t="s">
        <v>22</v>
      </c>
      <c r="P998" s="8" t="s">
        <v>40</v>
      </c>
      <c r="Q998" s="3">
        <f t="shared" si="16"/>
        <v>0.45992740471869326</v>
      </c>
      <c r="R998" s="8" t="str" cm="1">
        <f t="array" ref="R998">_xlfn.IFS(Q998&gt;40%,"Alta",Q998&gt;20%,"Média",Q998&lt;20%,"Baixa")</f>
        <v>Alta</v>
      </c>
    </row>
    <row r="999" spans="1:18" x14ac:dyDescent="0.25">
      <c r="A999" s="5">
        <v>97</v>
      </c>
      <c r="B999" s="6">
        <v>45723</v>
      </c>
      <c r="C999" s="8" t="s">
        <v>47</v>
      </c>
      <c r="D999" s="8" t="s">
        <v>42</v>
      </c>
      <c r="E999" s="8" t="s">
        <v>41</v>
      </c>
      <c r="F999" s="5">
        <v>3797</v>
      </c>
      <c r="G999" s="8" t="s">
        <v>26</v>
      </c>
      <c r="H999" s="8" t="s">
        <v>38</v>
      </c>
      <c r="I999" s="5">
        <v>2</v>
      </c>
      <c r="J999" s="10">
        <v>246</v>
      </c>
      <c r="K999" s="10">
        <v>492</v>
      </c>
      <c r="L999" s="10">
        <v>305.60000000000002</v>
      </c>
      <c r="M999" s="10">
        <v>186.4</v>
      </c>
      <c r="N999" s="8" t="s">
        <v>28</v>
      </c>
      <c r="O999" s="8" t="s">
        <v>22</v>
      </c>
      <c r="P999" s="8" t="s">
        <v>23</v>
      </c>
      <c r="Q999" s="3">
        <f t="shared" si="16"/>
        <v>0.37886178861788616</v>
      </c>
      <c r="R999" s="8" t="str" cm="1">
        <f t="array" ref="R999">_xlfn.IFS(Q999&gt;40%,"Alta",Q999&gt;20%,"Média",Q999&lt;20%,"Baixa")</f>
        <v>Média</v>
      </c>
    </row>
    <row r="1000" spans="1:18" x14ac:dyDescent="0.25">
      <c r="A1000" s="5">
        <v>769</v>
      </c>
      <c r="B1000" s="6">
        <v>45722</v>
      </c>
      <c r="C1000" s="8" t="s">
        <v>34</v>
      </c>
      <c r="D1000" s="8" t="s">
        <v>30</v>
      </c>
      <c r="E1000" s="8" t="s">
        <v>25</v>
      </c>
      <c r="F1000" s="5">
        <v>2185</v>
      </c>
      <c r="G1000" s="8" t="s">
        <v>19</v>
      </c>
      <c r="H1000" s="8" t="s">
        <v>31</v>
      </c>
      <c r="I1000" s="5">
        <v>1</v>
      </c>
      <c r="J1000" s="10">
        <v>466</v>
      </c>
      <c r="K1000" s="10">
        <v>466</v>
      </c>
      <c r="L1000" s="10">
        <v>333.99</v>
      </c>
      <c r="M1000" s="10">
        <v>132.01</v>
      </c>
      <c r="N1000" s="8" t="s">
        <v>32</v>
      </c>
      <c r="O1000" s="8" t="s">
        <v>39</v>
      </c>
      <c r="P1000" s="8" t="s">
        <v>40</v>
      </c>
      <c r="Q1000" s="3">
        <f t="shared" si="16"/>
        <v>0.28328326180257507</v>
      </c>
      <c r="R1000" s="8" t="str" cm="1">
        <f t="array" ref="R1000">_xlfn.IFS(Q1000&gt;40%,"Alta",Q1000&gt;20%,"Média",Q1000&lt;20%,"Baixa")</f>
        <v>Média</v>
      </c>
    </row>
    <row r="1001" spans="1:18" x14ac:dyDescent="0.25">
      <c r="A1001" s="5">
        <v>244</v>
      </c>
      <c r="B1001" s="6">
        <v>45806</v>
      </c>
      <c r="C1001" s="8" t="s">
        <v>34</v>
      </c>
      <c r="D1001" s="8" t="s">
        <v>35</v>
      </c>
      <c r="E1001" s="8" t="s">
        <v>37</v>
      </c>
      <c r="F1001" s="5">
        <v>7752</v>
      </c>
      <c r="G1001" s="8" t="s">
        <v>26</v>
      </c>
      <c r="H1001" s="8" t="s">
        <v>27</v>
      </c>
      <c r="I1001" s="5">
        <v>1</v>
      </c>
      <c r="J1001" s="10">
        <v>343</v>
      </c>
      <c r="K1001" s="10">
        <v>343</v>
      </c>
      <c r="L1001" s="10">
        <v>222.94</v>
      </c>
      <c r="M1001" s="10">
        <v>120.06</v>
      </c>
      <c r="N1001" s="8" t="s">
        <v>32</v>
      </c>
      <c r="O1001" s="8" t="s">
        <v>33</v>
      </c>
      <c r="P1001" s="8" t="s">
        <v>44</v>
      </c>
      <c r="Q1001" s="3">
        <f t="shared" si="16"/>
        <v>0.35002915451895045</v>
      </c>
      <c r="R1001" s="8" t="str" cm="1">
        <f t="array" ref="R1001">_xlfn.IFS(Q1001&gt;40%,"Alta",Q1001&gt;20%,"Média",Q1001&lt;20%,"Baixa")</f>
        <v>Média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C1" sqref="C1"/>
    </sheetView>
  </sheetViews>
  <sheetFormatPr defaultRowHeight="15" x14ac:dyDescent="0.25"/>
  <cols>
    <col min="1" max="1" width="102.85546875" customWidth="1"/>
    <col min="2" max="2" width="9.140625" customWidth="1"/>
  </cols>
  <sheetData>
    <row r="1" spans="1:1" ht="409.5" customHeight="1" x14ac:dyDescent="0.25">
      <c r="A1" s="1" t="s">
        <v>48</v>
      </c>
    </row>
    <row r="2" spans="1:1" ht="409.5" customHeight="1" x14ac:dyDescent="0.25">
      <c r="A2" s="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Tabela Dinâmica</vt:lpstr>
      <vt:lpstr>Base_Bruta_Empresarial</vt:lpstr>
      <vt:lpstr>Desafios_Estagio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Maryana Filipa Teixeira Soares</cp:lastModifiedBy>
  <cp:lastPrinted>2026-03-02T01:40:38Z</cp:lastPrinted>
  <dcterms:created xsi:type="dcterms:W3CDTF">2026-02-20T20:51:14Z</dcterms:created>
  <dcterms:modified xsi:type="dcterms:W3CDTF">2026-03-02T15:14:31Z</dcterms:modified>
</cp:coreProperties>
</file>